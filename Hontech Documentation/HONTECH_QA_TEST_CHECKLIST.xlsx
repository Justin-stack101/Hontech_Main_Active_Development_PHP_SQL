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Checklist'!$A$4:$I$200</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Checklist'!$A$5:$A$200)</f>
        <v/>
      </c>
    </row>
    <row r="6">
      <c r="A6" s="5" t="inlineStr">
        <is>
          <t>Passed</t>
        </is>
      </c>
      <c r="B6" s="5">
        <f>COUNTIF('QA Checklist'!$H$5:$H$200,"Passed")+COUNTIF('QA Checklist'!$H$5:$H$200,"Pass")</f>
        <v/>
      </c>
    </row>
    <row r="7">
      <c r="A7" s="5" t="inlineStr">
        <is>
          <t>Failed</t>
        </is>
      </c>
      <c r="B7" s="5">
        <f>COUNTIF('QA Checklist'!$H$5:$H$200,"Failed")+COUNTIF('QA Checklist'!$H$5:$H$200,"Fail")</f>
        <v/>
      </c>
    </row>
    <row r="8">
      <c r="A8" s="5" t="inlineStr">
        <is>
          <t>Pending</t>
        </is>
      </c>
      <c r="B8" s="5">
        <f>COUNTIF('QA Checklist'!$H$5:$H$200,"Pending")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Checklist'!$B$5:$B$200,$A12)</f>
        <v/>
      </c>
      <c r="C12" s="5">
        <f>COUNTIFS('QA Checklist'!$B$5:$B$200,$A12,'QA Checklist'!$H$5:$H$200,"Passed")+COUNTIFS('QA Checklist'!$B$5:$B$200,$A12,'QA Checklist'!$H$5:$H$200,"Pass")</f>
        <v/>
      </c>
      <c r="D12" s="5">
        <f>COUNTIFS('QA Checklist'!$B$5:$B$200,$A12,'QA Checklist'!$H$5:$H$200,"Failed")+COUNTIFS('QA Checklist'!$B$5:$B$200,$A12,'QA Checklist'!$H$5:$H$200,"Fail")</f>
        <v/>
      </c>
      <c r="E12" s="5">
        <f>COUNTIFS('QA Checklist'!$B$5:$B$200,$A12,'QA Checklist'!$H$5:$H$200,"Pending")</f>
        <v/>
      </c>
      <c r="F12" s="8">
        <f>IF(B12=0,0,C12/B12)</f>
        <v/>
      </c>
    </row>
    <row r="13">
      <c r="A13" s="5" t="inlineStr">
        <is>
          <t>Assistant Staff</t>
        </is>
      </c>
      <c r="B13" s="5">
        <f>COUNTIF('QA Checklist'!$B$5:$B$200,$A13)</f>
        <v/>
      </c>
      <c r="C13" s="5">
        <f>COUNTIFS('QA Checklist'!$B$5:$B$200,$A13,'QA Checklist'!$H$5:$H$200,"Passed")+COUNTIFS('QA Checklist'!$B$5:$B$200,$A13,'QA Checklist'!$H$5:$H$200,"Pass")</f>
        <v/>
      </c>
      <c r="D13" s="5">
        <f>COUNTIFS('QA Checklist'!$B$5:$B$200,$A13,'QA Checklist'!$H$5:$H$200,"Failed")+COUNTIFS('QA Checklist'!$B$5:$B$200,$A13,'QA Checklist'!$H$5:$H$200,"Fail")</f>
        <v/>
      </c>
      <c r="E13" s="5">
        <f>COUNTIFS('QA Checklist'!$B$5:$B$200,$A13,'QA Checklist'!$H$5:$H$200,"Pending")</f>
        <v/>
      </c>
      <c r="F13" s="8">
        <f>IF(B13=0,0,C13/B13)</f>
        <v/>
      </c>
    </row>
    <row r="14">
      <c r="A14" s="5" t="inlineStr">
        <is>
          <t>Authentication</t>
        </is>
      </c>
      <c r="B14" s="5">
        <f>COUNTIF('QA Checklist'!$B$5:$B$200,$A14)</f>
        <v/>
      </c>
      <c r="C14" s="5">
        <f>COUNTIFS('QA Checklist'!$B$5:$B$200,$A14,'QA Checklist'!$H$5:$H$200,"Passed")+COUNTIFS('QA Checklist'!$B$5:$B$200,$A14,'QA Checklist'!$H$5:$H$200,"Pass")</f>
        <v/>
      </c>
      <c r="D14" s="5">
        <f>COUNTIFS('QA Checklist'!$B$5:$B$200,$A14,'QA Checklist'!$H$5:$H$200,"Failed")+COUNTIFS('QA Checklist'!$B$5:$B$200,$A14,'QA Checklist'!$H$5:$H$200,"Fail")</f>
        <v/>
      </c>
      <c r="E14" s="5">
        <f>COUNTIFS('QA Checklist'!$B$5:$B$200,$A14,'QA Checklist'!$H$5:$H$200,"Pending")</f>
        <v/>
      </c>
      <c r="F14" s="8">
        <f>IF(B14=0,0,C14/B14)</f>
        <v/>
      </c>
    </row>
    <row r="15">
      <c r="A15" s="5" t="inlineStr">
        <is>
          <t>Developer Tooling</t>
        </is>
      </c>
      <c r="B15" s="5">
        <f>COUNTIF('QA Checklist'!$B$5:$B$200,$A15)</f>
        <v/>
      </c>
      <c r="C15" s="5">
        <f>COUNTIFS('QA Checklist'!$B$5:$B$200,$A15,'QA Checklist'!$H$5:$H$200,"Passed")+COUNTIFS('QA Checklist'!$B$5:$B$200,$A15,'QA Checklist'!$H$5:$H$200,"Pass")</f>
        <v/>
      </c>
      <c r="D15" s="5">
        <f>COUNTIFS('QA Checklist'!$B$5:$B$200,$A15,'QA Checklist'!$H$5:$H$200,"Failed")+COUNTIFS('QA Checklist'!$B$5:$B$200,$A15,'QA Checklist'!$H$5:$H$200,"Fail")</f>
        <v/>
      </c>
      <c r="E15" s="5">
        <f>COUNTIFS('QA Checklist'!$B$5:$B$200,$A15,'QA Checklist'!$H$5:$H$200,"Pending")</f>
        <v/>
      </c>
      <c r="F15" s="8">
        <f>IF(B15=0,0,C15/B15)</f>
        <v/>
      </c>
    </row>
    <row r="16">
      <c r="A16" s="5" t="inlineStr">
        <is>
          <t>Diagnostics</t>
        </is>
      </c>
      <c r="B16" s="5">
        <f>COUNTIF('QA Checklist'!$B$5:$B$200,$A16)</f>
        <v/>
      </c>
      <c r="C16" s="5">
        <f>COUNTIFS('QA Checklist'!$B$5:$B$200,$A16,'QA Checklist'!$H$5:$H$200,"Passed")+COUNTIFS('QA Checklist'!$B$5:$B$200,$A16,'QA Checklist'!$H$5:$H$200,"Pass")</f>
        <v/>
      </c>
      <c r="D16" s="5">
        <f>COUNTIFS('QA Checklist'!$B$5:$B$200,$A16,'QA Checklist'!$H$5:$H$200,"Failed")+COUNTIFS('QA Checklist'!$B$5:$B$200,$A16,'QA Checklist'!$H$5:$H$200,"Fail")</f>
        <v/>
      </c>
      <c r="E16" s="5">
        <f>COUNTIFS('QA Checklist'!$B$5:$B$200,$A16,'QA Checklist'!$H$5:$H$200,"Pending")</f>
        <v/>
      </c>
      <c r="F16" s="8">
        <f>IF(B16=0,0,C16/B16)</f>
        <v/>
      </c>
    </row>
    <row r="17">
      <c r="A17" s="5" t="inlineStr">
        <is>
          <t>Owner / Analytics</t>
        </is>
      </c>
      <c r="B17" s="5">
        <f>COUNTIF('QA Checklist'!$B$5:$B$200,$A17)</f>
        <v/>
      </c>
      <c r="C17" s="5">
        <f>COUNTIFS('QA Checklist'!$B$5:$B$200,$A17,'QA Checklist'!$H$5:$H$200,"Passed")+COUNTIFS('QA Checklist'!$B$5:$B$200,$A17,'QA Checklist'!$H$5:$H$200,"Pass")</f>
        <v/>
      </c>
      <c r="D17" s="5">
        <f>COUNTIFS('QA Checklist'!$B$5:$B$200,$A17,'QA Checklist'!$H$5:$H$200,"Failed")+COUNTIFS('QA Checklist'!$B$5:$B$200,$A17,'QA Checklist'!$H$5:$H$200,"Fail")</f>
        <v/>
      </c>
      <c r="E17" s="5">
        <f>COUNTIFS('QA Checklist'!$B$5:$B$200,$A17,'QA Checklist'!$H$5:$H$200,"Pending")</f>
        <v/>
      </c>
      <c r="F17" s="8">
        <f>IF(B17=0,0,C17/B17)</f>
        <v/>
      </c>
    </row>
    <row r="18">
      <c r="A18" s="5" t="inlineStr">
        <is>
          <t>SA 2025 RO Studio</t>
        </is>
      </c>
      <c r="B18" s="5">
        <f>COUNTIF('QA Checklist'!$B$5:$B$200,$A18)</f>
        <v/>
      </c>
      <c r="C18" s="5">
        <f>COUNTIFS('QA Checklist'!$B$5:$B$200,$A18,'QA Checklist'!$H$5:$H$200,"Passed")+COUNTIFS('QA Checklist'!$B$5:$B$200,$A18,'QA Checklist'!$H$5:$H$200,"Pass")</f>
        <v/>
      </c>
      <c r="D18" s="5">
        <f>COUNTIFS('QA Checklist'!$B$5:$B$200,$A18,'QA Checklist'!$H$5:$H$200,"Failed")+COUNTIFS('QA Checklist'!$B$5:$B$200,$A18,'QA Checklist'!$H$5:$H$200,"Fail")</f>
        <v/>
      </c>
      <c r="E18" s="5">
        <f>COUNTIFS('QA Checklist'!$B$5:$B$200,$A18,'QA Checklist'!$H$5:$H$200,"Pending")</f>
        <v/>
      </c>
      <c r="F18" s="8">
        <f>IF(B18=0,0,C18/B18)</f>
        <v/>
      </c>
    </row>
    <row r="19">
      <c r="A19" s="5" t="inlineStr">
        <is>
          <t>Security &amp; RBAC</t>
        </is>
      </c>
      <c r="B19" s="5">
        <f>COUNTIF('QA Checklist'!$B$5:$B$200,$A19)</f>
        <v/>
      </c>
      <c r="C19" s="5">
        <f>COUNTIFS('QA Checklist'!$B$5:$B$200,$A19,'QA Checklist'!$H$5:$H$200,"Passed")+COUNTIFS('QA Checklist'!$B$5:$B$200,$A19,'QA Checklist'!$H$5:$H$200,"Pass")</f>
        <v/>
      </c>
      <c r="D19" s="5">
        <f>COUNTIFS('QA Checklist'!$B$5:$B$200,$A19,'QA Checklist'!$H$5:$H$200,"Failed")+COUNTIFS('QA Checklist'!$B$5:$B$200,$A19,'QA Checklist'!$H$5:$H$200,"Fail")</f>
        <v/>
      </c>
      <c r="E19" s="5">
        <f>COUNTIFS('QA Checklist'!$B$5:$B$200,$A19,'QA Checklist'!$H$5:$H$200,"Pending")</f>
        <v/>
      </c>
      <c r="F19" s="8">
        <f>IF(B19=0,0,C19/B19)</f>
        <v/>
      </c>
    </row>
    <row r="20">
      <c r="A20" s="5" t="inlineStr">
        <is>
          <t>Service Advisor</t>
        </is>
      </c>
      <c r="B20" s="5">
        <f>COUNTIF('QA Checklist'!$B$5:$B$200,$A20)</f>
        <v/>
      </c>
      <c r="C20" s="5">
        <f>COUNTIFS('QA Checklist'!$B$5:$B$200,$A20,'QA Checklist'!$H$5:$H$200,"Passed")+COUNTIFS('QA Checklist'!$B$5:$B$200,$A20,'QA Checklist'!$H$5:$H$200,"Pass")</f>
        <v/>
      </c>
      <c r="D20" s="5">
        <f>COUNTIFS('QA Checklist'!$B$5:$B$200,$A20,'QA Checklist'!$H$5:$H$200,"Failed")+COUNTIFS('QA Checklist'!$B$5:$B$200,$A20,'QA Checklist'!$H$5:$H$200,"Fail")</f>
        <v/>
      </c>
      <c r="E20" s="5">
        <f>COUNTIFS('QA Checklist'!$B$5:$B$200,$A20,'QA Checklist'!$H$5:$H$200,"Pending")</f>
        <v/>
      </c>
      <c r="F20" s="8">
        <f>IF(B20=0,0,C20/B20)</f>
        <v/>
      </c>
    </row>
    <row r="21">
      <c r="A21" s="5" t="inlineStr">
        <is>
          <t>Staff Access</t>
        </is>
      </c>
      <c r="B21" s="5">
        <f>COUNTIF('QA Checklist'!$B$5:$B$200,$A21)</f>
        <v/>
      </c>
      <c r="C21" s="5">
        <f>COUNTIFS('QA Checklist'!$B$5:$B$200,$A21,'QA Checklist'!$H$5:$H$200,"Passed")+COUNTIFS('QA Checklist'!$B$5:$B$200,$A21,'QA Checklist'!$H$5:$H$200,"Pass")</f>
        <v/>
      </c>
      <c r="D21" s="5">
        <f>COUNTIFS('QA Checklist'!$B$5:$B$200,$A21,'QA Checklist'!$H$5:$H$200,"Failed")+COUNTIFS('QA Checklist'!$B$5:$B$200,$A21,'QA Checklist'!$H$5:$H$200,"Fail")</f>
        <v/>
      </c>
      <c r="E21" s="5">
        <f>COUNTIFS('QA Checklist'!$B$5:$B$200,$A21,'QA Checklist'!$H$5:$H$200,"Pending")</f>
        <v/>
      </c>
      <c r="F21" s="8">
        <f>IF(B21=0,0,C21/B21)</f>
        <v/>
      </c>
    </row>
    <row r="22">
      <c r="A22" s="5" t="inlineStr">
        <is>
          <t>TV Monitor</t>
        </is>
      </c>
      <c r="B22" s="5">
        <f>COUNTIF('QA Checklist'!$B$5:$B$200,$A22)</f>
        <v/>
      </c>
      <c r="C22" s="5">
        <f>COUNTIFS('QA Checklist'!$B$5:$B$200,$A22,'QA Checklist'!$H$5:$H$200,"Passed")+COUNTIFS('QA Checklist'!$B$5:$B$200,$A22,'QA Checklist'!$H$5:$H$200,"Pass")</f>
        <v/>
      </c>
      <c r="D22" s="5">
        <f>COUNTIFS('QA Checklist'!$B$5:$B$200,$A22,'QA Checklist'!$H$5:$H$200,"Failed")+COUNTIFS('QA Checklist'!$B$5:$B$200,$A22,'QA Checklist'!$H$5:$H$200,"Fail")</f>
        <v/>
      </c>
      <c r="E22" s="5">
        <f>COUNTIFS('QA Checklist'!$B$5:$B$200,$A22,'QA Checklist'!$H$5:$H$200,"Pending")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Checklist'!$C$5:$C$200,$A26&amp;"*")</f>
        <v/>
      </c>
      <c r="C26" s="5">
        <f>COUNTIFS('QA Checklist'!$C$5:$C$200,$A26&amp;"*",'QA Checklist'!$H$5:$H$200,"Passed")+COUNTIFS('QA Checklist'!$C$5:$C$200,$A26&amp;"*",'QA Checklist'!$H$5:$H$200,"Pass")</f>
        <v/>
      </c>
      <c r="D26" s="5">
        <f>COUNTIFS('QA Checklist'!$C$5:$C$200,$A26&amp;"*",'QA Checklist'!$H$5:$H$200,"Failed")+COUNTIFS('QA Checklist'!$C$5:$C$200,$A26&amp;"*",'QA Checklist'!$H$5:$H$200,"Fail")</f>
        <v/>
      </c>
      <c r="E26" s="5">
        <f>COUNTIFS('QA Checklist'!$C$5:$C$200,$A26&amp;"*",'QA Checklist'!$H$5:$H$200,"Pending")</f>
        <v/>
      </c>
    </row>
    <row r="27">
      <c r="A27" s="5" t="inlineStr">
        <is>
          <t>Tier 2</t>
        </is>
      </c>
      <c r="B27" s="5">
        <f>COUNTIF('QA Checklist'!$C$5:$C$200,$A27&amp;"*")</f>
        <v/>
      </c>
      <c r="C27" s="5">
        <f>COUNTIFS('QA Checklist'!$C$5:$C$200,$A27&amp;"*",'QA Checklist'!$H$5:$H$200,"Passed")+COUNTIFS('QA Checklist'!$C$5:$C$200,$A27&amp;"*",'QA Checklist'!$H$5:$H$200,"Pass")</f>
        <v/>
      </c>
      <c r="D27" s="5">
        <f>COUNTIFS('QA Checklist'!$C$5:$C$200,$A27&amp;"*",'QA Checklist'!$H$5:$H$200,"Failed")+COUNTIFS('QA Checklist'!$C$5:$C$200,$A27&amp;"*",'QA Checklist'!$H$5:$H$200,"Fail")</f>
        <v/>
      </c>
      <c r="E27" s="5">
        <f>COUNTIFS('QA Checklist'!$C$5:$C$200,$A27&amp;"*",'QA Checklist'!$H$5:$H$200,"Pending")</f>
        <v/>
      </c>
    </row>
    <row r="28">
      <c r="A28" s="5" t="inlineStr">
        <is>
          <t>Tier 3</t>
        </is>
      </c>
      <c r="B28" s="5">
        <f>COUNTIF('QA Checklist'!$C$5:$C$200,$A28&amp;"*")</f>
        <v/>
      </c>
      <c r="C28" s="5">
        <f>COUNTIFS('QA Checklist'!$C$5:$C$200,$A28&amp;"*",'QA Checklist'!$H$5:$H$200,"Passed")+COUNTIFS('QA Checklist'!$C$5:$C$200,$A28&amp;"*",'QA Checklist'!$H$5:$H$200,"Pass")</f>
        <v/>
      </c>
      <c r="D28" s="5">
        <f>COUNTIFS('QA Checklist'!$C$5:$C$200,$A28&amp;"*",'QA Checklist'!$H$5:$H$200,"Failed")+COUNTIFS('QA Checklist'!$C$5:$C$200,$A28&amp;"*",'QA Checklist'!$H$5:$H$200,"Fail")</f>
        <v/>
      </c>
      <c r="E28" s="5">
        <f>COUNTIFS('QA Checklist'!$C$5:$C$200,$A28&amp;"*",'QA Checklist'!$H$5:$H$200,"Pending")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20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row r="191">
      <c r="A191" s="12" t="inlineStr">
        <is>
          <t>SA-65</t>
        </is>
      </c>
      <c r="B191" s="13" t="inlineStr">
        <is>
          <t>Service Advisor</t>
        </is>
      </c>
      <c r="C191" s="13" t="inlineStr">
        <is>
          <t>Tier 2 (Workflow &amp; Ergonomics)</t>
        </is>
      </c>
      <c r="D191" s="13" t="inlineStr">
        <is>
          <t>TV Monitor Phase 6: Announcements</t>
        </is>
      </c>
      <c r="E191" s="13" t="inlineStr">
        <is>
          <t>Service Advisor</t>
        </is>
      </c>
      <c r="F191" s="13" t="inlineStr">
        <is>
          <t>With the lounge TV live, in Daily Intakes assign a bay, set Ready to Release, press Call Again, then Release; in Settings press Test TV Announcement; watch a second branch TV and a TV opened afterwards</t>
        </is>
      </c>
      <c r="G191" s="13" t="inlineStr">
        <is>
          <t>The lounge TV shows a banner, chimes and speaks each change once, in order, with plate and model (release thanks the customer); Call Again repeats the ready call (a second press within 15 s is refused); the SA computer only chimes after saving Ready / Released; other branch TVs and newly opened TVs do not play it</t>
        </is>
      </c>
      <c r="H191" s="14" t="inlineStr">
        <is>
          <t>Passed</t>
        </is>
      </c>
      <c r="I191" s="13" t="inlineStr">
        <is>
          <t>Verified by Automated Unit Tests (177 passing in tests/frontend/sla_and_logic.test.js AUT-FRONT-148) and an XAMPP end-to-end run 8/8</t>
        </is>
      </c>
    </row>
    <row r="192">
      <c r="A192" s="12" t="inlineStr">
        <is>
          <t>SA-66</t>
        </is>
      </c>
      <c r="B192" s="13" t="inlineStr">
        <is>
          <t>Service Advisor</t>
        </is>
      </c>
      <c r="C192" s="13" t="inlineStr">
        <is>
          <t>Tier 2 (Workflow &amp; Ergonomics)</t>
        </is>
      </c>
      <c r="D192" s="13" t="inlineStr">
        <is>
          <t>TV Weather Box</t>
        </is>
      </c>
      <c r="E192" s="13" t="inlineStr">
        <is>
          <t>Service Advisor</t>
        </is>
      </c>
      <c r="F192" s="13" t="inlineStr">
        <is>
          <t>Open the Marikina and Regalado TVs, compare the weather box with a weather app for each area, then disconnect the server PC from the internet for 20 minutes</t>
        </is>
      </c>
      <c r="G192" s="13" t="inlineStr">
        <is>
          <t>Each TV shows its branch temperature, condition, feels like and humidity (rain line only when rain is expected); offline it keeps the last reading with "As of hh:mm", or shows "Weather unavailable" - never made-up numbers</t>
        </is>
      </c>
      <c r="H192" s="14" t="inlineStr">
        <is>
          <t>Passed</t>
        </is>
      </c>
      <c r="I192" s="13" t="inlineStr">
        <is>
          <t>Verified by Automated Unit Tests (178 passing in tests/frontend/sla_and_logic.test.js AUT-FRONT-149), server checks 6/6 and headless Chrome 7/7 on XAMPP</t>
        </is>
      </c>
    </row>
    <row r="193">
      <c r="A193" s="12" t="inlineStr">
        <is>
          <t>SA-67</t>
        </is>
      </c>
      <c r="B193" s="13" t="inlineStr">
        <is>
          <t>Service Advisor</t>
        </is>
      </c>
      <c r="C193" s="13" t="inlineStr">
        <is>
          <t>Tier 2 (Workflow &amp; Ergonomics)</t>
        </is>
      </c>
      <c r="D193" s="13" t="inlineStr">
        <is>
          <t>Developer Toolbox (Ctrl+D) &amp; TV Simulation</t>
        </is>
      </c>
      <c r="E193" s="13" t="inlineStr">
        <is>
          <t>Service Advisor</t>
        </is>
      </c>
      <c r="F193" s="13" t="inlineStr">
        <is>
          <t>On the login screen press Ctrl+D; log in as SA and press Ctrl+D; with the branch TV live press Released and Call Customer Again in the toolbox; open the TV page and look for developer controls; repeat Ctrl+D on a server with APP_ENV=production</t>
        </is>
      </c>
      <c r="G193" s="13" t="inlineStr">
        <is>
          <t>Ctrl+D does nothing when logged out or in production; for a logged-in user in development it opens the toolbox and the TV plays the simulated announcements; the TV page has no developer controls</t>
        </is>
      </c>
      <c r="H193" s="14" t="inlineStr">
        <is>
          <t>Passed</t>
        </is>
      </c>
      <c r="I193" s="13" t="inlineStr">
        <is>
          <t>Verified by Automated Unit Tests (179 passing in tests/frontend/sla_and_logic.test.js AUT-FRONT-150) and headless Chrome 8/8 (development and production-mode servers)</t>
        </is>
      </c>
    </row>
    <row r="194">
      <c r="A194" s="12" t="inlineStr">
        <is>
          <t>SA-68</t>
        </is>
      </c>
      <c r="B194" s="13" t="inlineStr">
        <is>
          <t>Service Advisor</t>
        </is>
      </c>
      <c r="C194" s="13" t="inlineStr">
        <is>
          <t>Tier 2 (Workflow &amp; Ergonomics)</t>
        </is>
      </c>
      <c r="D194" s="13" t="inlineStr">
        <is>
          <t>TV Weather Box (Simple)</t>
        </is>
      </c>
      <c r="E194" s="13" t="inlineStr">
        <is>
          <t>Service Advisor</t>
        </is>
      </c>
      <c r="F194" s="13" t="inlineStr">
        <is>
          <t>Start the branch broadcast, open the TV page and enter the PIN; compare the weather box with the current weather for the branch; repeat on the other branch</t>
        </is>
      </c>
      <c r="G194" s="13" t="inlineStr">
        <is>
          <t>The box shows only an icon, the real temperature and the condition for that branch; with no reading it shows --°C / Unavailable</t>
        </is>
      </c>
      <c r="H194" s="14" t="inlineStr">
        <is>
          <t>Passed</t>
        </is>
      </c>
      <c r="I194" s="13" t="inlineStr">
        <is>
          <t>Verified by Automated Unit Tests (180 passing in tests/frontend/sla_and_logic.test.js AUT-FRONT-151) and headless Chrome 5/5 (both branch TVs)</t>
        </is>
      </c>
    </row>
    <row r="195">
      <c r="A195" s="12" t="inlineStr">
        <is>
          <t>SA-69</t>
        </is>
      </c>
      <c r="B195" s="13" t="inlineStr">
        <is>
          <t>Service Advisor</t>
        </is>
      </c>
      <c r="C195" s="13" t="inlineStr">
        <is>
          <t>Tier 2 (Workflow &amp; Ergonomics)</t>
        </is>
      </c>
      <c r="D195" s="13" t="inlineStr">
        <is>
          <t>Customer Lookup Sheet Tabs</t>
        </is>
      </c>
      <c r="E195" s="13" t="inlineStr">
        <is>
          <t>Service Advisor</t>
        </is>
      </c>
      <c r="F195" s="13" t="inlineStr">
        <is>
          <t>Open Customer Lookup as SA; click Regulars, Back_Jobs, Due_for_PMS and All_Customers; select a customer; switch between Customer_Details and Service_History; search and press Clear</t>
        </is>
      </c>
      <c r="G195" s="13" t="inlineStr">
        <is>
          <t>Tabs look and behave like the RO Excel Studio tabs and filter the list; Customer_Details shows the RO details box, actions and metrics; Service_History shows the history logs with the count in the tab; Clear returns to All_Customers</t>
        </is>
      </c>
      <c r="H195" s="14" t="inlineStr">
        <is>
          <t>Passed</t>
        </is>
      </c>
      <c r="I195" s="13" t="inlineStr">
        <is>
          <t>Verified by Automated Unit Tests (181 passing in tests/frontend/sla_and_logic.test.js AUT-FRONT-152) and headless Chrome 5/5</t>
        </is>
      </c>
    </row>
    <row r="196">
      <c r="A196" s="12" t="inlineStr">
        <is>
          <t>SA-70</t>
        </is>
      </c>
      <c r="B196" s="13" t="inlineStr">
        <is>
          <t>Service Advisor</t>
        </is>
      </c>
      <c r="C196" s="13" t="inlineStr">
        <is>
          <t>Tier 2 (Workflow &amp; Ergonomics)</t>
        </is>
      </c>
      <c r="D196" s="13" t="inlineStr">
        <is>
          <t>Customer Lookup Service_History Records</t>
        </is>
      </c>
      <c r="E196" s="13" t="inlineStr">
        <is>
          <t>Service Advisor</t>
        </is>
      </c>
      <c r="F196" s="13" t="inlineStr">
        <is>
          <t>Open Customer Lookup as SA, select a customer and open Service_History; check a job still in the shop and a released job; for a released job press Issue Back-Job and Claim Stub</t>
        </is>
      </c>
      <c r="G196" s="13" t="inlineStr">
        <is>
          <t>Each visit shows the real date, time, job order no., claim stub, advisor, bay, source, parts, promise date, concern and findings (blank fields show —); released visits show the 30-day back-job warranty status and Issue Back-Job; in-shop visits say the warranty starts on release</t>
        </is>
      </c>
      <c r="H196" s="14" t="inlineStr">
        <is>
          <t>Passed</t>
        </is>
      </c>
      <c r="I196" s="13" t="inlineStr">
        <is>
          <t>Verified by Automated Unit Tests (182 passing in tests/frontend/sla_and_logic.test.js AUT-FRONT-153) and headless Chrome 10/10</t>
        </is>
      </c>
    </row>
    <row r="197">
      <c r="A197" s="12" t="inlineStr">
        <is>
          <t>SA-71</t>
        </is>
      </c>
      <c r="B197" s="13" t="inlineStr">
        <is>
          <t>Service Advisor</t>
        </is>
      </c>
      <c r="C197" s="13" t="inlineStr">
        <is>
          <t>Tier 2 (Workflow &amp; Ergonomics)</t>
        </is>
      </c>
      <c r="D197" s="13" t="inlineStr">
        <is>
          <t>TV Slides Responsive &amp; Scrollable</t>
        </is>
      </c>
      <c r="E197" s="13" t="inlineStr">
        <is>
          <t>Service Advisor</t>
        </is>
      </c>
      <c r="F197" s="13" t="inlineStr">
        <is>
          <t>Open the TV on a large TV, a laptop, a tablet and a phone; go through slides 1-3; with many vehicles scroll the bay grid, the queue/ready/carry-over lists and each lane; watch that the slide does not change while scrolling</t>
        </is>
      </c>
      <c r="G197" s="13" t="inlineStr">
        <is>
          <t>Layouts adapt to the screen with no overlapping text or sideways scrolling; every area scrolls when full; auto-rotation waits 20 seconds after the last scroll or touch</t>
        </is>
      </c>
      <c r="H197" s="14" t="inlineStr">
        <is>
          <t>Passed</t>
        </is>
      </c>
      <c r="I197" s="13" t="inlineStr">
        <is>
          <t>Verified by Automated Unit Tests (183 passing in tests/frontend/sla_and_logic.test.js AUT-FRONT-154) and headless Chrome 22/22 at 1920x1080, 1366x768, 1024x768 and 390x844</t>
        </is>
      </c>
    </row>
    <row r="198">
      <c r="A198" s="12" t="inlineStr">
        <is>
          <t>SA-72</t>
        </is>
      </c>
      <c r="B198" s="13" t="inlineStr">
        <is>
          <t>Service Advisor</t>
        </is>
      </c>
      <c r="C198" s="13" t="inlineStr">
        <is>
          <t>Tier 2 (Workflow &amp; Ergonomics)</t>
        </is>
      </c>
      <c r="D198" s="13" t="inlineStr">
        <is>
          <t>TV Auto-Scroll &amp; Daily Reset</t>
        </is>
      </c>
      <c r="E198" s="13" t="inlineStr">
        <is>
          <t>Service Advisor</t>
        </is>
      </c>
      <c r="F198" s="13" t="inlineStr">
        <is>
          <t>Fill a lane with more vehicles than fit and watch the TV; touch the screen while it scrolls; the next day, check that yesterday's vehicles are gone from the TV and carry-over vehicles are still shown</t>
        </is>
      </c>
      <c r="G198" s="13" t="inlineStr">
        <is>
          <t>Long lists scroll to the bottom and back by themselves and the slide waits for them; touching pauses it; the TV shows only today's intakes plus all carry-over vehicles, matching Daily Intakes</t>
        </is>
      </c>
      <c r="H198" s="14" t="inlineStr">
        <is>
          <t>Passed</t>
        </is>
      </c>
      <c r="I198" s="13" t="inlineStr">
        <is>
          <t>Verified by Automated Unit Tests (184 passing in tests/frontend/sla_and_logic.test.js AUT-FRONT-155), live feed check with temporary rows and headless Chrome 13/13</t>
        </is>
      </c>
    </row>
    <row r="199">
      <c r="A199" s="12" t="inlineStr">
        <is>
          <t>SA-73</t>
        </is>
      </c>
      <c r="B199" s="13" t="inlineStr">
        <is>
          <t>Service Advisor</t>
        </is>
      </c>
      <c r="C199" s="13" t="inlineStr">
        <is>
          <t>Tier 2 (Workflow &amp; Ergonomics)</t>
        </is>
      </c>
      <c r="D199" s="13" t="inlineStr">
        <is>
          <t>TV Self-Update &amp; Carry-Over Tag</t>
        </is>
      </c>
      <c r="E199" s="13" t="inlineStr">
        <is>
          <t>Service Advisor</t>
        </is>
      </c>
      <c r="F199" s="13" t="inlineStr">
        <is>
          <t>Leave the TV open, publish a new TV page version, and watch the TV; send a carry-over vehicle back to work and look at In Service / In Queue on slide 2</t>
        </is>
      </c>
      <c r="G199" s="13" t="inlineStr">
        <is>
          <t>The TV reloads by itself within seconds and returns to the live screen without a PIN; returned carry-over vehicles show a Carry-Over tag</t>
        </is>
      </c>
      <c r="H199" s="14" t="inlineStr">
        <is>
          <t>Passed</t>
        </is>
      </c>
      <c r="I199" s="13" t="inlineStr">
        <is>
          <t>Verified by Automated Unit Tests (185 passing in tests/frontend/sla_and_logic.test.js AUT-FRONT-156) and headless Chrome 6/6</t>
        </is>
      </c>
    </row>
    <row r="200">
      <c r="A200" s="12" t="inlineStr">
        <is>
          <t>SA-74</t>
        </is>
      </c>
      <c r="B200" s="13" t="inlineStr">
        <is>
          <t>Service Advisor</t>
        </is>
      </c>
      <c r="C200" s="13" t="inlineStr">
        <is>
          <t>Tier 2 (Workflow &amp; Ergonomics)</t>
        </is>
      </c>
      <c r="D200" s="13" t="inlineStr">
        <is>
          <t>TV Page Always Up to Date</t>
        </is>
      </c>
      <c r="E200" s="13" t="inlineStr">
        <is>
          <t>Service Advisor</t>
        </is>
      </c>
      <c r="F200" s="13" t="inlineStr">
        <is>
          <t>Open the TV Monitor in the app and the stand-alone TV page; after an update reload them normally (F5) and check that slide 2 carry-over list scrolls by itself</t>
        </is>
      </c>
      <c r="G200" s="13" t="inlineStr">
        <is>
          <t>Both load the newest TV page on a normal reload; tv.html and index.html are served with Cache-Control: no-cache; long lists auto-scroll</t>
        </is>
      </c>
      <c r="H200" s="14" t="inlineStr">
        <is>
          <t>Passed</t>
        </is>
      </c>
      <c r="I200" s="13" t="inlineStr">
        <is>
          <t>Verified by Automated Unit Tests (186 passing in tests/frontend/sla_and_logic.test.js AUT-FRONT-157), XAMPP header check and headless Chrome</t>
        </is>
      </c>
    </row>
  </sheetData>
  <autoFilter ref="A4:I200"/>
  <mergeCells count="1">
    <mergeCell ref="A2:I2"/>
  </mergeCells>
  <conditionalFormatting sqref="H5:H200">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200">
    <cfRule type="expression" priority="6" dxfId="3">
      <formula>COUNTIF($A$5:$A$200,$A5)&gt;1</formula>
    </cfRule>
  </conditionalFormatting>
  <dataValidations count="1">
    <dataValidation sqref="H5:H200"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2026-09-25T12:36:48Z</dcterms:modified>
</cp:coreProperties>
</file>