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Checklist'!$A$4:$I$204</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Checklist'!$A$5:$A$204)</f>
        <v/>
      </c>
    </row>
    <row r="6">
      <c r="A6" s="5" t="inlineStr">
        <is>
          <t>Passed</t>
        </is>
      </c>
      <c r="B6" s="5">
        <f>COUNTIF('QA Checklist'!$H$5:$H$204,"Passed")+COUNTIF('QA Checklist'!$H$5:$H$204,"Pass")</f>
        <v/>
      </c>
    </row>
    <row r="7">
      <c r="A7" s="5" t="inlineStr">
        <is>
          <t>Failed</t>
        </is>
      </c>
      <c r="B7" s="5">
        <f>COUNTIF('QA Checklist'!$H$5:$H$204,"Failed")+COUNTIF('QA Checklist'!$H$5:$H$204,"Fail")</f>
        <v/>
      </c>
    </row>
    <row r="8">
      <c r="A8" s="5" t="inlineStr">
        <is>
          <t>Pending</t>
        </is>
      </c>
      <c r="B8" s="5">
        <f>COUNTIF('QA Checklist'!$H$5:$H$204,"Pending")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Checklist'!$B$5:$B$204,$A12)</f>
        <v/>
      </c>
      <c r="C12" s="5">
        <f>COUNTIFS('QA Checklist'!$B$5:$B$204,$A12,'QA Checklist'!$H$5:$H$204,"Passed")+COUNTIFS('QA Checklist'!$B$5:$B$204,$A12,'QA Checklist'!$H$5:$H$204,"Pass")</f>
        <v/>
      </c>
      <c r="D12" s="5">
        <f>COUNTIFS('QA Checklist'!$B$5:$B$204,$A12,'QA Checklist'!$H$5:$H$204,"Failed")+COUNTIFS('QA Checklist'!$B$5:$B$204,$A12,'QA Checklist'!$H$5:$H$204,"Fail")</f>
        <v/>
      </c>
      <c r="E12" s="5">
        <f>COUNTIFS('QA Checklist'!$B$5:$B$204,$A12,'QA Checklist'!$H$5:$H$204,"Pending")</f>
        <v/>
      </c>
      <c r="F12" s="8">
        <f>IF(B12=0,0,C12/B12)</f>
        <v/>
      </c>
    </row>
    <row r="13">
      <c r="A13" s="5" t="inlineStr">
        <is>
          <t>Assistant Staff</t>
        </is>
      </c>
      <c r="B13" s="5">
        <f>COUNTIF('QA Checklist'!$B$5:$B$204,$A13)</f>
        <v/>
      </c>
      <c r="C13" s="5">
        <f>COUNTIFS('QA Checklist'!$B$5:$B$204,$A13,'QA Checklist'!$H$5:$H$204,"Passed")+COUNTIFS('QA Checklist'!$B$5:$B$204,$A13,'QA Checklist'!$H$5:$H$204,"Pass")</f>
        <v/>
      </c>
      <c r="D13" s="5">
        <f>COUNTIFS('QA Checklist'!$B$5:$B$204,$A13,'QA Checklist'!$H$5:$H$204,"Failed")+COUNTIFS('QA Checklist'!$B$5:$B$204,$A13,'QA Checklist'!$H$5:$H$204,"Fail")</f>
        <v/>
      </c>
      <c r="E13" s="5">
        <f>COUNTIFS('QA Checklist'!$B$5:$B$204,$A13,'QA Checklist'!$H$5:$H$204,"Pending")</f>
        <v/>
      </c>
      <c r="F13" s="8">
        <f>IF(B13=0,0,C13/B13)</f>
        <v/>
      </c>
    </row>
    <row r="14">
      <c r="A14" s="5" t="inlineStr">
        <is>
          <t>Authentication</t>
        </is>
      </c>
      <c r="B14" s="5">
        <f>COUNTIF('QA Checklist'!$B$5:$B$204,$A14)</f>
        <v/>
      </c>
      <c r="C14" s="5">
        <f>COUNTIFS('QA Checklist'!$B$5:$B$204,$A14,'QA Checklist'!$H$5:$H$204,"Passed")+COUNTIFS('QA Checklist'!$B$5:$B$204,$A14,'QA Checklist'!$H$5:$H$204,"Pass")</f>
        <v/>
      </c>
      <c r="D14" s="5">
        <f>COUNTIFS('QA Checklist'!$B$5:$B$204,$A14,'QA Checklist'!$H$5:$H$204,"Failed")+COUNTIFS('QA Checklist'!$B$5:$B$204,$A14,'QA Checklist'!$H$5:$H$204,"Fail")</f>
        <v/>
      </c>
      <c r="E14" s="5">
        <f>COUNTIFS('QA Checklist'!$B$5:$B$204,$A14,'QA Checklist'!$H$5:$H$204,"Pending")</f>
        <v/>
      </c>
      <c r="F14" s="8">
        <f>IF(B14=0,0,C14/B14)</f>
        <v/>
      </c>
    </row>
    <row r="15">
      <c r="A15" s="5" t="inlineStr">
        <is>
          <t>Developer Tooling</t>
        </is>
      </c>
      <c r="B15" s="5">
        <f>COUNTIF('QA Checklist'!$B$5:$B$204,$A15)</f>
        <v/>
      </c>
      <c r="C15" s="5">
        <f>COUNTIFS('QA Checklist'!$B$5:$B$204,$A15,'QA Checklist'!$H$5:$H$204,"Passed")+COUNTIFS('QA Checklist'!$B$5:$B$204,$A15,'QA Checklist'!$H$5:$H$204,"Pass")</f>
        <v/>
      </c>
      <c r="D15" s="5">
        <f>COUNTIFS('QA Checklist'!$B$5:$B$204,$A15,'QA Checklist'!$H$5:$H$204,"Failed")+COUNTIFS('QA Checklist'!$B$5:$B$204,$A15,'QA Checklist'!$H$5:$H$204,"Fail")</f>
        <v/>
      </c>
      <c r="E15" s="5">
        <f>COUNTIFS('QA Checklist'!$B$5:$B$204,$A15,'QA Checklist'!$H$5:$H$204,"Pending")</f>
        <v/>
      </c>
      <c r="F15" s="8">
        <f>IF(B15=0,0,C15/B15)</f>
        <v/>
      </c>
    </row>
    <row r="16">
      <c r="A16" s="5" t="inlineStr">
        <is>
          <t>Diagnostics</t>
        </is>
      </c>
      <c r="B16" s="5">
        <f>COUNTIF('QA Checklist'!$B$5:$B$204,$A16)</f>
        <v/>
      </c>
      <c r="C16" s="5">
        <f>COUNTIFS('QA Checklist'!$B$5:$B$204,$A16,'QA Checklist'!$H$5:$H$204,"Passed")+COUNTIFS('QA Checklist'!$B$5:$B$204,$A16,'QA Checklist'!$H$5:$H$204,"Pass")</f>
        <v/>
      </c>
      <c r="D16" s="5">
        <f>COUNTIFS('QA Checklist'!$B$5:$B$204,$A16,'QA Checklist'!$H$5:$H$204,"Failed")+COUNTIFS('QA Checklist'!$B$5:$B$204,$A16,'QA Checklist'!$H$5:$H$204,"Fail")</f>
        <v/>
      </c>
      <c r="E16" s="5">
        <f>COUNTIFS('QA Checklist'!$B$5:$B$204,$A16,'QA Checklist'!$H$5:$H$204,"Pending")</f>
        <v/>
      </c>
      <c r="F16" s="8">
        <f>IF(B16=0,0,C16/B16)</f>
        <v/>
      </c>
    </row>
    <row r="17">
      <c r="A17" s="5" t="inlineStr">
        <is>
          <t>Owner / Analytics</t>
        </is>
      </c>
      <c r="B17" s="5">
        <f>COUNTIF('QA Checklist'!$B$5:$B$204,$A17)</f>
        <v/>
      </c>
      <c r="C17" s="5">
        <f>COUNTIFS('QA Checklist'!$B$5:$B$204,$A17,'QA Checklist'!$H$5:$H$204,"Passed")+COUNTIFS('QA Checklist'!$B$5:$B$204,$A17,'QA Checklist'!$H$5:$H$204,"Pass")</f>
        <v/>
      </c>
      <c r="D17" s="5">
        <f>COUNTIFS('QA Checklist'!$B$5:$B$204,$A17,'QA Checklist'!$H$5:$H$204,"Failed")+COUNTIFS('QA Checklist'!$B$5:$B$204,$A17,'QA Checklist'!$H$5:$H$204,"Fail")</f>
        <v/>
      </c>
      <c r="E17" s="5">
        <f>COUNTIFS('QA Checklist'!$B$5:$B$204,$A17,'QA Checklist'!$H$5:$H$204,"Pending")</f>
        <v/>
      </c>
      <c r="F17" s="8">
        <f>IF(B17=0,0,C17/B17)</f>
        <v/>
      </c>
    </row>
    <row r="18">
      <c r="A18" s="5" t="inlineStr">
        <is>
          <t>SA 2025 RO Studio</t>
        </is>
      </c>
      <c r="B18" s="5">
        <f>COUNTIF('QA Checklist'!$B$5:$B$204,$A18)</f>
        <v/>
      </c>
      <c r="C18" s="5">
        <f>COUNTIFS('QA Checklist'!$B$5:$B$204,$A18,'QA Checklist'!$H$5:$H$204,"Passed")+COUNTIFS('QA Checklist'!$B$5:$B$204,$A18,'QA Checklist'!$H$5:$H$204,"Pass")</f>
        <v/>
      </c>
      <c r="D18" s="5">
        <f>COUNTIFS('QA Checklist'!$B$5:$B$204,$A18,'QA Checklist'!$H$5:$H$204,"Failed")+COUNTIFS('QA Checklist'!$B$5:$B$204,$A18,'QA Checklist'!$H$5:$H$204,"Fail")</f>
        <v/>
      </c>
      <c r="E18" s="5">
        <f>COUNTIFS('QA Checklist'!$B$5:$B$204,$A18,'QA Checklist'!$H$5:$H$204,"Pending")</f>
        <v/>
      </c>
      <c r="F18" s="8">
        <f>IF(B18=0,0,C18/B18)</f>
        <v/>
      </c>
    </row>
    <row r="19">
      <c r="A19" s="5" t="inlineStr">
        <is>
          <t>Security &amp; RBAC</t>
        </is>
      </c>
      <c r="B19" s="5">
        <f>COUNTIF('QA Checklist'!$B$5:$B$204,$A19)</f>
        <v/>
      </c>
      <c r="C19" s="5">
        <f>COUNTIFS('QA Checklist'!$B$5:$B$204,$A19,'QA Checklist'!$H$5:$H$204,"Passed")+COUNTIFS('QA Checklist'!$B$5:$B$204,$A19,'QA Checklist'!$H$5:$H$204,"Pass")</f>
        <v/>
      </c>
      <c r="D19" s="5">
        <f>COUNTIFS('QA Checklist'!$B$5:$B$204,$A19,'QA Checklist'!$H$5:$H$204,"Failed")+COUNTIFS('QA Checklist'!$B$5:$B$204,$A19,'QA Checklist'!$H$5:$H$204,"Fail")</f>
        <v/>
      </c>
      <c r="E19" s="5">
        <f>COUNTIFS('QA Checklist'!$B$5:$B$204,$A19,'QA Checklist'!$H$5:$H$204,"Pending")</f>
        <v/>
      </c>
      <c r="F19" s="8">
        <f>IF(B19=0,0,C19/B19)</f>
        <v/>
      </c>
    </row>
    <row r="20">
      <c r="A20" s="5" t="inlineStr">
        <is>
          <t>Service Advisor</t>
        </is>
      </c>
      <c r="B20" s="5">
        <f>COUNTIF('QA Checklist'!$B$5:$B$204,$A20)</f>
        <v/>
      </c>
      <c r="C20" s="5">
        <f>COUNTIFS('QA Checklist'!$B$5:$B$204,$A20,'QA Checklist'!$H$5:$H$204,"Passed")+COUNTIFS('QA Checklist'!$B$5:$B$204,$A20,'QA Checklist'!$H$5:$H$204,"Pass")</f>
        <v/>
      </c>
      <c r="D20" s="5">
        <f>COUNTIFS('QA Checklist'!$B$5:$B$204,$A20,'QA Checklist'!$H$5:$H$204,"Failed")+COUNTIFS('QA Checklist'!$B$5:$B$204,$A20,'QA Checklist'!$H$5:$H$204,"Fail")</f>
        <v/>
      </c>
      <c r="E20" s="5">
        <f>COUNTIFS('QA Checklist'!$B$5:$B$204,$A20,'QA Checklist'!$H$5:$H$204,"Pending")</f>
        <v/>
      </c>
      <c r="F20" s="8">
        <f>IF(B20=0,0,C20/B20)</f>
        <v/>
      </c>
    </row>
    <row r="21">
      <c r="A21" s="5" t="inlineStr">
        <is>
          <t>Staff Access</t>
        </is>
      </c>
      <c r="B21" s="5">
        <f>COUNTIF('QA Checklist'!$B$5:$B$204,$A21)</f>
        <v/>
      </c>
      <c r="C21" s="5">
        <f>COUNTIFS('QA Checklist'!$B$5:$B$204,$A21,'QA Checklist'!$H$5:$H$204,"Passed")+COUNTIFS('QA Checklist'!$B$5:$B$204,$A21,'QA Checklist'!$H$5:$H$204,"Pass")</f>
        <v/>
      </c>
      <c r="D21" s="5">
        <f>COUNTIFS('QA Checklist'!$B$5:$B$204,$A21,'QA Checklist'!$H$5:$H$204,"Failed")+COUNTIFS('QA Checklist'!$B$5:$B$204,$A21,'QA Checklist'!$H$5:$H$204,"Fail")</f>
        <v/>
      </c>
      <c r="E21" s="5">
        <f>COUNTIFS('QA Checklist'!$B$5:$B$204,$A21,'QA Checklist'!$H$5:$H$204,"Pending")</f>
        <v/>
      </c>
      <c r="F21" s="8">
        <f>IF(B21=0,0,C21/B21)</f>
        <v/>
      </c>
    </row>
    <row r="22">
      <c r="A22" s="5" t="inlineStr">
        <is>
          <t>TV Monitor</t>
        </is>
      </c>
      <c r="B22" s="5">
        <f>COUNTIF('QA Checklist'!$B$5:$B$204,$A22)</f>
        <v/>
      </c>
      <c r="C22" s="5">
        <f>COUNTIFS('QA Checklist'!$B$5:$B$204,$A22,'QA Checklist'!$H$5:$H$204,"Passed")+COUNTIFS('QA Checklist'!$B$5:$B$204,$A22,'QA Checklist'!$H$5:$H$204,"Pass")</f>
        <v/>
      </c>
      <c r="D22" s="5">
        <f>COUNTIFS('QA Checklist'!$B$5:$B$204,$A22,'QA Checklist'!$H$5:$H$204,"Failed")+COUNTIFS('QA Checklist'!$B$5:$B$204,$A22,'QA Checklist'!$H$5:$H$204,"Fail")</f>
        <v/>
      </c>
      <c r="E22" s="5">
        <f>COUNTIFS('QA Checklist'!$B$5:$B$204,$A22,'QA Checklist'!$H$5:$H$204,"Pending")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Checklist'!$C$5:$C$204,$A26&amp;"*")</f>
        <v/>
      </c>
      <c r="C26" s="5">
        <f>COUNTIFS('QA Checklist'!$C$5:$C$204,$A26&amp;"*",'QA Checklist'!$H$5:$H$204,"Passed")+COUNTIFS('QA Checklist'!$C$5:$C$204,$A26&amp;"*",'QA Checklist'!$H$5:$H$204,"Pass")</f>
        <v/>
      </c>
      <c r="D26" s="5">
        <f>COUNTIFS('QA Checklist'!$C$5:$C$204,$A26&amp;"*",'QA Checklist'!$H$5:$H$204,"Failed")+COUNTIFS('QA Checklist'!$C$5:$C$204,$A26&amp;"*",'QA Checklist'!$H$5:$H$204,"Fail")</f>
        <v/>
      </c>
      <c r="E26" s="5">
        <f>COUNTIFS('QA Checklist'!$C$5:$C$204,$A26&amp;"*",'QA Checklist'!$H$5:$H$204,"Pending")</f>
        <v/>
      </c>
    </row>
    <row r="27">
      <c r="A27" s="5" t="inlineStr">
        <is>
          <t>Tier 2</t>
        </is>
      </c>
      <c r="B27" s="5">
        <f>COUNTIF('QA Checklist'!$C$5:$C$204,$A27&amp;"*")</f>
        <v/>
      </c>
      <c r="C27" s="5">
        <f>COUNTIFS('QA Checklist'!$C$5:$C$204,$A27&amp;"*",'QA Checklist'!$H$5:$H$204,"Passed")+COUNTIFS('QA Checklist'!$C$5:$C$204,$A27&amp;"*",'QA Checklist'!$H$5:$H$204,"Pass")</f>
        <v/>
      </c>
      <c r="D27" s="5">
        <f>COUNTIFS('QA Checklist'!$C$5:$C$204,$A27&amp;"*",'QA Checklist'!$H$5:$H$204,"Failed")+COUNTIFS('QA Checklist'!$C$5:$C$204,$A27&amp;"*",'QA Checklist'!$H$5:$H$204,"Fail")</f>
        <v/>
      </c>
      <c r="E27" s="5">
        <f>COUNTIFS('QA Checklist'!$C$5:$C$204,$A27&amp;"*",'QA Checklist'!$H$5:$H$204,"Pending")</f>
        <v/>
      </c>
    </row>
    <row r="28">
      <c r="A28" s="5" t="inlineStr">
        <is>
          <t>Tier 3</t>
        </is>
      </c>
      <c r="B28" s="5">
        <f>COUNTIF('QA Checklist'!$C$5:$C$204,$A28&amp;"*")</f>
        <v/>
      </c>
      <c r="C28" s="5">
        <f>COUNTIFS('QA Checklist'!$C$5:$C$204,$A28&amp;"*",'QA Checklist'!$H$5:$H$204,"Passed")+COUNTIFS('QA Checklist'!$C$5:$C$204,$A28&amp;"*",'QA Checklist'!$H$5:$H$204,"Pass")</f>
        <v/>
      </c>
      <c r="D28" s="5">
        <f>COUNTIFS('QA Checklist'!$C$5:$C$204,$A28&amp;"*",'QA Checklist'!$H$5:$H$204,"Failed")+COUNTIFS('QA Checklist'!$C$5:$C$204,$A28&amp;"*",'QA Checklist'!$H$5:$H$204,"Fail")</f>
        <v/>
      </c>
      <c r="E28" s="5">
        <f>COUNTIFS('QA Checklist'!$C$5:$C$204,$A28&amp;"*",'QA Checklist'!$H$5:$H$204,"Pending")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20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row r="199">
      <c r="A199" s="12" t="inlineStr">
        <is>
          <t>SA-73</t>
        </is>
      </c>
      <c r="B199" s="13" t="inlineStr">
        <is>
          <t>Service Advisor</t>
        </is>
      </c>
      <c r="C199" s="13" t="inlineStr">
        <is>
          <t>Tier 2 (Workflow &amp; Ergonomics)</t>
        </is>
      </c>
      <c r="D199" s="13" t="inlineStr">
        <is>
          <t>TV Self-Update &amp; Carry-Over Tag</t>
        </is>
      </c>
      <c r="E199" s="13" t="inlineStr">
        <is>
          <t>Service Advisor</t>
        </is>
      </c>
      <c r="F199" s="13" t="inlineStr">
        <is>
          <t>Leave the TV open, publish a new TV page version, and watch the TV; send a carry-over vehicle back to work and look at In Service / In Queue on slide 2</t>
        </is>
      </c>
      <c r="G199" s="13" t="inlineStr">
        <is>
          <t>The TV reloads by itself within seconds and returns to the live screen without a PIN; returned carry-over vehicles show a Carry-Over tag</t>
        </is>
      </c>
      <c r="H199" s="14" t="inlineStr">
        <is>
          <t>Passed</t>
        </is>
      </c>
      <c r="I199" s="13" t="inlineStr">
        <is>
          <t>Verified by Automated Unit Tests (185 passing in tests/frontend/sla_and_logic.test.js AUT-FRONT-156) and headless Chrome 6/6</t>
        </is>
      </c>
    </row>
    <row r="200">
      <c r="A200" s="12" t="inlineStr">
        <is>
          <t>SA-74</t>
        </is>
      </c>
      <c r="B200" s="13" t="inlineStr">
        <is>
          <t>Service Advisor</t>
        </is>
      </c>
      <c r="C200" s="13" t="inlineStr">
        <is>
          <t>Tier 2 (Workflow &amp; Ergonomics)</t>
        </is>
      </c>
      <c r="D200" s="13" t="inlineStr">
        <is>
          <t>TV Page Always Up to Date</t>
        </is>
      </c>
      <c r="E200" s="13" t="inlineStr">
        <is>
          <t>Service Advisor</t>
        </is>
      </c>
      <c r="F200" s="13" t="inlineStr">
        <is>
          <t>Open the TV Monitor in the app and the stand-alone TV page; after an update reload them normally (F5) and check that slide 2 carry-over list scrolls by itself</t>
        </is>
      </c>
      <c r="G200" s="13" t="inlineStr">
        <is>
          <t>Both load the newest TV page on a normal reload; tv.html and index.html are served with Cache-Control: no-cache; long lists auto-scroll</t>
        </is>
      </c>
      <c r="H200" s="14" t="inlineStr">
        <is>
          <t>Passed</t>
        </is>
      </c>
      <c r="I200" s="13" t="inlineStr">
        <is>
          <t>Verified by Automated Unit Tests (186 passing in tests/frontend/sla_and_logic.test.js AUT-FRONT-157), XAMPP header check and headless Chrome</t>
        </is>
      </c>
    </row>
    <row r="201">
      <c r="A201" s="12" t="inlineStr">
        <is>
          <t>SA-75</t>
        </is>
      </c>
      <c r="B201" s="13" t="inlineStr">
        <is>
          <t>Service Advisor</t>
        </is>
      </c>
      <c r="C201" s="13" t="inlineStr">
        <is>
          <t>Tier 2 (Workflow &amp; Ergonomics)</t>
        </is>
      </c>
      <c r="D201" s="13" t="inlineStr">
        <is>
          <t>Excel Claim Stub Rows</t>
        </is>
      </c>
      <c r="E201" s="13" t="inlineStr">
        <is>
          <t>Service Advisor</t>
        </is>
      </c>
      <c r="F201" s="13" t="inlineStr">
        <is>
          <t>Fill plate, model and contact in the Studio, press Export Official .xlsx and open the Job_Order sheet at the claim stub (rows 70-72); compare with the PDF</t>
        </is>
      </c>
      <c r="G201" s="13" t="inlineStr">
        <is>
          <t>Plate No./Year/Model shows the plate and the model once each; Contact shows the number once; the Claim Stub is filled; same as the PDF</t>
        </is>
      </c>
      <c r="H201" s="14" t="inlineStr">
        <is>
          <t>Passed</t>
        </is>
      </c>
      <c r="I201" s="13" t="inlineStr">
        <is>
          <t>Verified by Automated Unit Tests (187 passing in tests/frontend/sla_and_logic.test.js AUT-FRONT-158) and headless Chrome 3/3 on a real exported file</t>
        </is>
      </c>
    </row>
    <row r="202">
      <c r="A202" s="12" t="inlineStr">
        <is>
          <t>SA-76</t>
        </is>
      </c>
      <c r="B202" s="13" t="inlineStr">
        <is>
          <t>Service Advisor</t>
        </is>
      </c>
      <c r="C202" s="13" t="inlineStr">
        <is>
          <t>Tier 2 (Workflow &amp; Ergonomics)</t>
        </is>
      </c>
      <c r="D202" s="13" t="inlineStr">
        <is>
          <t>Job Order Without Parts &amp; Materials Editor</t>
        </is>
      </c>
      <c r="E202" s="13" t="inlineStr">
        <is>
          <t>Service Advisor</t>
        </is>
      </c>
      <c r="F202" s="13" t="inlineStr">
        <is>
          <t>Open the Job Order tab; add an item on Quotation and on Billing; type in the Job Order and switch between the tabs; view the Job Order PDF and export the Excel</t>
        </is>
      </c>
      <c r="G202" s="13" t="inlineStr">
        <is>
          <t>No parts/materials tables or totals on the Job Order; Quotation and Billing items stay; the customer name still copies; the Job Order PDF and Excel have a blank parts/materials area</t>
        </is>
      </c>
      <c r="H202" s="14" t="inlineStr">
        <is>
          <t>Passed</t>
        </is>
      </c>
      <c r="I202" s="13" t="inlineStr">
        <is>
          <t>Verified by Automated Unit Tests (188 passing in tests/frontend/sla_and_logic.test.js AUT-FRONT-159) and headless Chrome 8/8</t>
        </is>
      </c>
    </row>
    <row r="203">
      <c r="A203" s="12" t="inlineStr">
        <is>
          <t>SA-77</t>
        </is>
      </c>
      <c r="B203" s="13" t="inlineStr">
        <is>
          <t>Service Advisor</t>
        </is>
      </c>
      <c r="C203" s="13" t="inlineStr">
        <is>
          <t>Tier 2 (Workflow &amp; Ergonomics)</t>
        </is>
      </c>
      <c r="D203" s="13" t="inlineStr">
        <is>
          <t>Four Lanes &amp; 2-Hour Express</t>
        </is>
      </c>
      <c r="E203" s="13" t="inlineStr">
        <is>
          <t>Service Advisor</t>
        </is>
      </c>
      <c r="F203" s="13" t="inlineStr">
        <is>
          <t>Open the lane lists in the Studio, the intake form and the Daily Intakes table; save a vehicle on PMS &amp; GRS Lane; complete an Express vehicle in 1h45 and another in 2h15; check analytics text and TV slide 3</t>
        </is>
      </c>
      <c r="G203" s="13" t="inlineStr">
        <is>
          <t>Only Flexible, Express Lane (2 Hours), PMS &amp; GRS Lane and Priority Lane are offered; PMS &amp; GRS stays PMS &amp; GRS; 1h45 is on time and 2h15 is late; all Express text says 2 hours; the TV shows Express (≤ 2 Hours), Flexible, PMS &amp; GRS and Priority columns</t>
        </is>
      </c>
      <c r="H203" s="14" t="inlineStr">
        <is>
          <t>Passed</t>
        </is>
      </c>
      <c r="I203" s="13" t="inlineStr">
        <is>
          <t>Verified by Automated Unit Tests (189 passing in tests/frontend/sla_and_logic.test.js AUT-FRONT-160) and a live 11/11 check</t>
        </is>
      </c>
    </row>
    <row r="204">
      <c r="A204" s="12" t="inlineStr">
        <is>
          <t>SA-78</t>
        </is>
      </c>
      <c r="B204" s="13" t="inlineStr">
        <is>
          <t>Service Advisor</t>
        </is>
      </c>
      <c r="C204" s="13" t="inlineStr">
        <is>
          <t>Tier 2 (Workflow &amp; Ergonomics)</t>
        </is>
      </c>
      <c r="D204" s="13" t="inlineStr">
        <is>
          <t>Registered RO Appears as Same-Day Job</t>
        </is>
      </c>
      <c r="E204" s="13" t="inlineStr">
        <is>
          <t>Service Advisor</t>
        </is>
      </c>
      <c r="F204" s="13" t="inlineStr">
        <is>
          <t>On Workshop_Monitoring fill plate, model, customer and choose a Service Category; keep the Promise Date; Register RO; open Daily Intakes</t>
        </is>
      </c>
      <c r="G204" s="13" t="inlineStr">
        <is>
          <t>No Carry-Over (C.O.) field on Workshop_Monitoring and no Service Category on Job_Order; the vehicle appears in Daily Intakes as Waiting without the Carry-Over tag, with the chosen category</t>
        </is>
      </c>
      <c r="H204" s="14" t="inlineStr">
        <is>
          <t>Passed</t>
        </is>
      </c>
      <c r="I204" s="13" t="inlineStr">
        <is>
          <t>Verified by Automated Unit Tests (190 passing in tests/frontend/sla_and_logic.test.js AUT-FRONT-161) and headless Chrome 5/5 on a real registration</t>
        </is>
      </c>
    </row>
  </sheetData>
  <autoFilter ref="A4:I204"/>
  <mergeCells count="1">
    <mergeCell ref="A2:I2"/>
  </mergeCells>
  <conditionalFormatting sqref="H5:H204">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204">
    <cfRule type="expression" priority="6" dxfId="3">
      <formula>COUNTIF($A$5:$A$204,$A5)&gt;1</formula>
    </cfRule>
  </conditionalFormatting>
  <dataValidations count="1">
    <dataValidation sqref="H5:H204"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2026-09-26T03:42:19Z</dcterms:modified>
</cp:coreProperties>
</file>