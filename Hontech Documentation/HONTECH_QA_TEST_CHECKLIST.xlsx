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Checklist'!$A$4:$I$161</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Checklist'!$A$5:$A$161)</f>
        <v/>
      </c>
    </row>
    <row r="6">
      <c r="A6" s="5" t="inlineStr">
        <is>
          <t>Passed</t>
        </is>
      </c>
      <c r="B6" s="5">
        <f>COUNTIF('QA Checklist'!$H$5:$H$161,"Passed")+COUNTIF('QA Checklist'!$H$5:$H$161,"Pass")</f>
        <v/>
      </c>
    </row>
    <row r="7">
      <c r="A7" s="5" t="inlineStr">
        <is>
          <t>Failed</t>
        </is>
      </c>
      <c r="B7" s="5">
        <f>COUNTIF('QA Checklist'!$H$5:$H$161,"Failed")+COUNTIF('QA Checklist'!$H$5:$H$161,"Fail")</f>
        <v/>
      </c>
    </row>
    <row r="8">
      <c r="A8" s="5" t="inlineStr">
        <is>
          <t>Pending</t>
        </is>
      </c>
      <c r="B8" s="5">
        <f>COUNTIF('QA Checklist'!$H$5:$H$161,"Pending")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Checklist'!$B$5:$B$161,$A12)</f>
        <v/>
      </c>
      <c r="C12" s="5">
        <f>COUNTIFS('QA Checklist'!$B$5:$B$161,$A12,'QA Checklist'!$H$5:$H$161,"Passed")+COUNTIFS('QA Checklist'!$B$5:$B$161,$A12,'QA Checklist'!$H$5:$H$161,"Pass")</f>
        <v/>
      </c>
      <c r="D12" s="5">
        <f>COUNTIFS('QA Checklist'!$B$5:$B$161,$A12,'QA Checklist'!$H$5:$H$161,"Failed")+COUNTIFS('QA Checklist'!$B$5:$B$161,$A12,'QA Checklist'!$H$5:$H$161,"Fail")</f>
        <v/>
      </c>
      <c r="E12" s="5">
        <f>COUNTIFS('QA Checklist'!$B$5:$B$161,$A12,'QA Checklist'!$H$5:$H$161,"Pending")</f>
        <v/>
      </c>
      <c r="F12" s="8">
        <f>IF(B12=0,0,C12/B12)</f>
        <v/>
      </c>
    </row>
    <row r="13">
      <c r="A13" s="5" t="inlineStr">
        <is>
          <t>Assistant Staff</t>
        </is>
      </c>
      <c r="B13" s="5">
        <f>COUNTIF('QA Checklist'!$B$5:$B$161,$A13)</f>
        <v/>
      </c>
      <c r="C13" s="5">
        <f>COUNTIFS('QA Checklist'!$B$5:$B$161,$A13,'QA Checklist'!$H$5:$H$161,"Passed")+COUNTIFS('QA Checklist'!$B$5:$B$161,$A13,'QA Checklist'!$H$5:$H$161,"Pass")</f>
        <v/>
      </c>
      <c r="D13" s="5">
        <f>COUNTIFS('QA Checklist'!$B$5:$B$161,$A13,'QA Checklist'!$H$5:$H$161,"Failed")+COUNTIFS('QA Checklist'!$B$5:$B$161,$A13,'QA Checklist'!$H$5:$H$161,"Fail")</f>
        <v/>
      </c>
      <c r="E13" s="5">
        <f>COUNTIFS('QA Checklist'!$B$5:$B$161,$A13,'QA Checklist'!$H$5:$H$161,"Pending")</f>
        <v/>
      </c>
      <c r="F13" s="8">
        <f>IF(B13=0,0,C13/B13)</f>
        <v/>
      </c>
    </row>
    <row r="14">
      <c r="A14" s="5" t="inlineStr">
        <is>
          <t>Authentication</t>
        </is>
      </c>
      <c r="B14" s="5">
        <f>COUNTIF('QA Checklist'!$B$5:$B$161,$A14)</f>
        <v/>
      </c>
      <c r="C14" s="5">
        <f>COUNTIFS('QA Checklist'!$B$5:$B$161,$A14,'QA Checklist'!$H$5:$H$161,"Passed")+COUNTIFS('QA Checklist'!$B$5:$B$161,$A14,'QA Checklist'!$H$5:$H$161,"Pass")</f>
        <v/>
      </c>
      <c r="D14" s="5">
        <f>COUNTIFS('QA Checklist'!$B$5:$B$161,$A14,'QA Checklist'!$H$5:$H$161,"Failed")+COUNTIFS('QA Checklist'!$B$5:$B$161,$A14,'QA Checklist'!$H$5:$H$161,"Fail")</f>
        <v/>
      </c>
      <c r="E14" s="5">
        <f>COUNTIFS('QA Checklist'!$B$5:$B$161,$A14,'QA Checklist'!$H$5:$H$161,"Pending")</f>
        <v/>
      </c>
      <c r="F14" s="8">
        <f>IF(B14=0,0,C14/B14)</f>
        <v/>
      </c>
    </row>
    <row r="15">
      <c r="A15" s="5" t="inlineStr">
        <is>
          <t>Developer Tooling</t>
        </is>
      </c>
      <c r="B15" s="5">
        <f>COUNTIF('QA Checklist'!$B$5:$B$161,$A15)</f>
        <v/>
      </c>
      <c r="C15" s="5">
        <f>COUNTIFS('QA Checklist'!$B$5:$B$161,$A15,'QA Checklist'!$H$5:$H$161,"Passed")+COUNTIFS('QA Checklist'!$B$5:$B$161,$A15,'QA Checklist'!$H$5:$H$161,"Pass")</f>
        <v/>
      </c>
      <c r="D15" s="5">
        <f>COUNTIFS('QA Checklist'!$B$5:$B$161,$A15,'QA Checklist'!$H$5:$H$161,"Failed")+COUNTIFS('QA Checklist'!$B$5:$B$161,$A15,'QA Checklist'!$H$5:$H$161,"Fail")</f>
        <v/>
      </c>
      <c r="E15" s="5">
        <f>COUNTIFS('QA Checklist'!$B$5:$B$161,$A15,'QA Checklist'!$H$5:$H$161,"Pending")</f>
        <v/>
      </c>
      <c r="F15" s="8">
        <f>IF(B15=0,0,C15/B15)</f>
        <v/>
      </c>
    </row>
    <row r="16">
      <c r="A16" s="5" t="inlineStr">
        <is>
          <t>Diagnostics</t>
        </is>
      </c>
      <c r="B16" s="5">
        <f>COUNTIF('QA Checklist'!$B$5:$B$161,$A16)</f>
        <v/>
      </c>
      <c r="C16" s="5">
        <f>COUNTIFS('QA Checklist'!$B$5:$B$161,$A16,'QA Checklist'!$H$5:$H$161,"Passed")+COUNTIFS('QA Checklist'!$B$5:$B$161,$A16,'QA Checklist'!$H$5:$H$161,"Pass")</f>
        <v/>
      </c>
      <c r="D16" s="5">
        <f>COUNTIFS('QA Checklist'!$B$5:$B$161,$A16,'QA Checklist'!$H$5:$H$161,"Failed")+COUNTIFS('QA Checklist'!$B$5:$B$161,$A16,'QA Checklist'!$H$5:$H$161,"Fail")</f>
        <v/>
      </c>
      <c r="E16" s="5">
        <f>COUNTIFS('QA Checklist'!$B$5:$B$161,$A16,'QA Checklist'!$H$5:$H$161,"Pending")</f>
        <v/>
      </c>
      <c r="F16" s="8">
        <f>IF(B16=0,0,C16/B16)</f>
        <v/>
      </c>
    </row>
    <row r="17">
      <c r="A17" s="5" t="inlineStr">
        <is>
          <t>Owner / Analytics</t>
        </is>
      </c>
      <c r="B17" s="5">
        <f>COUNTIF('QA Checklist'!$B$5:$B$161,$A17)</f>
        <v/>
      </c>
      <c r="C17" s="5">
        <f>COUNTIFS('QA Checklist'!$B$5:$B$161,$A17,'QA Checklist'!$H$5:$H$161,"Passed")+COUNTIFS('QA Checklist'!$B$5:$B$161,$A17,'QA Checklist'!$H$5:$H$161,"Pass")</f>
        <v/>
      </c>
      <c r="D17" s="5">
        <f>COUNTIFS('QA Checklist'!$B$5:$B$161,$A17,'QA Checklist'!$H$5:$H$161,"Failed")+COUNTIFS('QA Checklist'!$B$5:$B$161,$A17,'QA Checklist'!$H$5:$H$161,"Fail")</f>
        <v/>
      </c>
      <c r="E17" s="5">
        <f>COUNTIFS('QA Checklist'!$B$5:$B$161,$A17,'QA Checklist'!$H$5:$H$161,"Pending")</f>
        <v/>
      </c>
      <c r="F17" s="8">
        <f>IF(B17=0,0,C17/B17)</f>
        <v/>
      </c>
    </row>
    <row r="18">
      <c r="A18" s="5" t="inlineStr">
        <is>
          <t>SA 2025 RO Studio</t>
        </is>
      </c>
      <c r="B18" s="5">
        <f>COUNTIF('QA Checklist'!$B$5:$B$161,$A18)</f>
        <v/>
      </c>
      <c r="C18" s="5">
        <f>COUNTIFS('QA Checklist'!$B$5:$B$161,$A18,'QA Checklist'!$H$5:$H$161,"Passed")+COUNTIFS('QA Checklist'!$B$5:$B$161,$A18,'QA Checklist'!$H$5:$H$161,"Pass")</f>
        <v/>
      </c>
      <c r="D18" s="5">
        <f>COUNTIFS('QA Checklist'!$B$5:$B$161,$A18,'QA Checklist'!$H$5:$H$161,"Failed")+COUNTIFS('QA Checklist'!$B$5:$B$161,$A18,'QA Checklist'!$H$5:$H$161,"Fail")</f>
        <v/>
      </c>
      <c r="E18" s="5">
        <f>COUNTIFS('QA Checklist'!$B$5:$B$161,$A18,'QA Checklist'!$H$5:$H$161,"Pending")</f>
        <v/>
      </c>
      <c r="F18" s="8">
        <f>IF(B18=0,0,C18/B18)</f>
        <v/>
      </c>
    </row>
    <row r="19">
      <c r="A19" s="5" t="inlineStr">
        <is>
          <t>Security &amp; RBAC</t>
        </is>
      </c>
      <c r="B19" s="5">
        <f>COUNTIF('QA Checklist'!$B$5:$B$161,$A19)</f>
        <v/>
      </c>
      <c r="C19" s="5">
        <f>COUNTIFS('QA Checklist'!$B$5:$B$161,$A19,'QA Checklist'!$H$5:$H$161,"Passed")+COUNTIFS('QA Checklist'!$B$5:$B$161,$A19,'QA Checklist'!$H$5:$H$161,"Pass")</f>
        <v/>
      </c>
      <c r="D19" s="5">
        <f>COUNTIFS('QA Checklist'!$B$5:$B$161,$A19,'QA Checklist'!$H$5:$H$161,"Failed")+COUNTIFS('QA Checklist'!$B$5:$B$161,$A19,'QA Checklist'!$H$5:$H$161,"Fail")</f>
        <v/>
      </c>
      <c r="E19" s="5">
        <f>COUNTIFS('QA Checklist'!$B$5:$B$161,$A19,'QA Checklist'!$H$5:$H$161,"Pending")</f>
        <v/>
      </c>
      <c r="F19" s="8">
        <f>IF(B19=0,0,C19/B19)</f>
        <v/>
      </c>
    </row>
    <row r="20">
      <c r="A20" s="5" t="inlineStr">
        <is>
          <t>Service Advisor</t>
        </is>
      </c>
      <c r="B20" s="5">
        <f>COUNTIF('QA Checklist'!$B$5:$B$161,$A20)</f>
        <v/>
      </c>
      <c r="C20" s="5">
        <f>COUNTIFS('QA Checklist'!$B$5:$B$161,$A20,'QA Checklist'!$H$5:$H$161,"Passed")+COUNTIFS('QA Checklist'!$B$5:$B$161,$A20,'QA Checklist'!$H$5:$H$161,"Pass")</f>
        <v/>
      </c>
      <c r="D20" s="5">
        <f>COUNTIFS('QA Checklist'!$B$5:$B$161,$A20,'QA Checklist'!$H$5:$H$161,"Failed")+COUNTIFS('QA Checklist'!$B$5:$B$161,$A20,'QA Checklist'!$H$5:$H$161,"Fail")</f>
        <v/>
      </c>
      <c r="E20" s="5">
        <f>COUNTIFS('QA Checklist'!$B$5:$B$161,$A20,'QA Checklist'!$H$5:$H$161,"Pending")</f>
        <v/>
      </c>
      <c r="F20" s="8">
        <f>IF(B20=0,0,C20/B20)</f>
        <v/>
      </c>
    </row>
    <row r="21">
      <c r="A21" s="5" t="inlineStr">
        <is>
          <t>Staff Access</t>
        </is>
      </c>
      <c r="B21" s="5">
        <f>COUNTIF('QA Checklist'!$B$5:$B$161,$A21)</f>
        <v/>
      </c>
      <c r="C21" s="5">
        <f>COUNTIFS('QA Checklist'!$B$5:$B$161,$A21,'QA Checklist'!$H$5:$H$161,"Passed")+COUNTIFS('QA Checklist'!$B$5:$B$161,$A21,'QA Checklist'!$H$5:$H$161,"Pass")</f>
        <v/>
      </c>
      <c r="D21" s="5">
        <f>COUNTIFS('QA Checklist'!$B$5:$B$161,$A21,'QA Checklist'!$H$5:$H$161,"Failed")+COUNTIFS('QA Checklist'!$B$5:$B$161,$A21,'QA Checklist'!$H$5:$H$161,"Fail")</f>
        <v/>
      </c>
      <c r="E21" s="5">
        <f>COUNTIFS('QA Checklist'!$B$5:$B$161,$A21,'QA Checklist'!$H$5:$H$161,"Pending")</f>
        <v/>
      </c>
      <c r="F21" s="8">
        <f>IF(B21=0,0,C21/B21)</f>
        <v/>
      </c>
    </row>
    <row r="22">
      <c r="A22" s="5" t="inlineStr">
        <is>
          <t>TV Monitor</t>
        </is>
      </c>
      <c r="B22" s="5">
        <f>COUNTIF('QA Checklist'!$B$5:$B$161,$A22)</f>
        <v/>
      </c>
      <c r="C22" s="5">
        <f>COUNTIFS('QA Checklist'!$B$5:$B$161,$A22,'QA Checklist'!$H$5:$H$161,"Passed")+COUNTIFS('QA Checklist'!$B$5:$B$161,$A22,'QA Checklist'!$H$5:$H$161,"Pass")</f>
        <v/>
      </c>
      <c r="D22" s="5">
        <f>COUNTIFS('QA Checklist'!$B$5:$B$161,$A22,'QA Checklist'!$H$5:$H$161,"Failed")+COUNTIFS('QA Checklist'!$B$5:$B$161,$A22,'QA Checklist'!$H$5:$H$161,"Fail")</f>
        <v/>
      </c>
      <c r="E22" s="5">
        <f>COUNTIFS('QA Checklist'!$B$5:$B$161,$A22,'QA Checklist'!$H$5:$H$161,"Pending")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Checklist'!$C$5:$C$161,$A26&amp;"*")</f>
        <v/>
      </c>
      <c r="C26" s="5">
        <f>COUNTIFS('QA Checklist'!$C$5:$C$161,$A26&amp;"*",'QA Checklist'!$H$5:$H$161,"Passed")+COUNTIFS('QA Checklist'!$C$5:$C$161,$A26&amp;"*",'QA Checklist'!$H$5:$H$161,"Pass")</f>
        <v/>
      </c>
      <c r="D26" s="5">
        <f>COUNTIFS('QA Checklist'!$C$5:$C$161,$A26&amp;"*",'QA Checklist'!$H$5:$H$161,"Failed")+COUNTIFS('QA Checklist'!$C$5:$C$161,$A26&amp;"*",'QA Checklist'!$H$5:$H$161,"Fail")</f>
        <v/>
      </c>
      <c r="E26" s="5">
        <f>COUNTIFS('QA Checklist'!$C$5:$C$161,$A26&amp;"*",'QA Checklist'!$H$5:$H$161,"Pending")</f>
        <v/>
      </c>
    </row>
    <row r="27">
      <c r="A27" s="5" t="inlineStr">
        <is>
          <t>Tier 2</t>
        </is>
      </c>
      <c r="B27" s="5">
        <f>COUNTIF('QA Checklist'!$C$5:$C$161,$A27&amp;"*")</f>
        <v/>
      </c>
      <c r="C27" s="5">
        <f>COUNTIFS('QA Checklist'!$C$5:$C$161,$A27&amp;"*",'QA Checklist'!$H$5:$H$161,"Passed")+COUNTIFS('QA Checklist'!$C$5:$C$161,$A27&amp;"*",'QA Checklist'!$H$5:$H$161,"Pass")</f>
        <v/>
      </c>
      <c r="D27" s="5">
        <f>COUNTIFS('QA Checklist'!$C$5:$C$161,$A27&amp;"*",'QA Checklist'!$H$5:$H$161,"Failed")+COUNTIFS('QA Checklist'!$C$5:$C$161,$A27&amp;"*",'QA Checklist'!$H$5:$H$161,"Fail")</f>
        <v/>
      </c>
      <c r="E27" s="5">
        <f>COUNTIFS('QA Checklist'!$C$5:$C$161,$A27&amp;"*",'QA Checklist'!$H$5:$H$161,"Pending")</f>
        <v/>
      </c>
    </row>
    <row r="28">
      <c r="A28" s="5" t="inlineStr">
        <is>
          <t>Tier 3</t>
        </is>
      </c>
      <c r="B28" s="5">
        <f>COUNTIF('QA Checklist'!$C$5:$C$161,$A28&amp;"*")</f>
        <v/>
      </c>
      <c r="C28" s="5">
        <f>COUNTIFS('QA Checklist'!$C$5:$C$161,$A28&amp;"*",'QA Checklist'!$H$5:$H$161,"Passed")+COUNTIFS('QA Checklist'!$C$5:$C$161,$A28&amp;"*",'QA Checklist'!$H$5:$H$161,"Pass")</f>
        <v/>
      </c>
      <c r="D28" s="5">
        <f>COUNTIFS('QA Checklist'!$C$5:$C$161,$A28&amp;"*",'QA Checklist'!$H$5:$H$161,"Failed")+COUNTIFS('QA Checklist'!$C$5:$C$161,$A28&amp;"*",'QA Checklist'!$H$5:$H$161,"Fail")</f>
        <v/>
      </c>
      <c r="E28" s="5">
        <f>COUNTIFS('QA Checklist'!$C$5:$C$161,$A28&amp;"*",'QA Checklist'!$H$5:$H$161,"Pending")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sheetData>
  <autoFilter ref="A4:I161"/>
  <mergeCells count="1">
    <mergeCell ref="A2:I2"/>
  </mergeCells>
  <conditionalFormatting sqref="H5:H161">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1">
    <cfRule type="expression" priority="6" dxfId="3">
      <formula>COUNTIF($A$5:$A$161,$A5)&gt;1</formula>
    </cfRule>
  </conditionalFormatting>
  <dataValidations count="1">
    <dataValidation sqref="H5:H161"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2026-09-25T01:55:50Z</dcterms:modified>
</cp:coreProperties>
</file>