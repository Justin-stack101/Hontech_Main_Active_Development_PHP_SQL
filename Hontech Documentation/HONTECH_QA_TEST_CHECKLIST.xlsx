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A Checklist" sheetId="2" state="visible" r:id="rId2"/>
  </sheets>
  <definedNames>
    <definedName name="_xlnm._FilterDatabase" localSheetId="1" hidden="1">'QA Checklist'!$A$4:$I$174</definedName>
    <definedName name="_xlnm.Print_Titles" localSheetId="1">'QA Checklist'!$4:$4</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B91C1C"/>
      <sz val="16"/>
    </font>
    <font>
      <name val="Arial"/>
      <i val="1"/>
      <color rgb="004B5563"/>
      <sz val="9"/>
    </font>
    <font>
      <name val="Arial"/>
      <b val="1"/>
      <color rgb="00FFFFFF"/>
      <sz val="10"/>
    </font>
    <font>
      <name val="Arial"/>
      <sz val="10"/>
    </font>
    <font>
      <name val="Arial"/>
      <b val="1"/>
      <sz val="10"/>
    </font>
  </fonts>
  <fills count="3">
    <fill>
      <patternFill/>
    </fill>
    <fill>
      <patternFill patternType="gray125"/>
    </fill>
    <fill>
      <patternFill patternType="solid">
        <fgColor rgb="001F293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4" fillId="0" borderId="1" pivotButton="0" quotePrefix="0" xfId="0"/>
    <xf numFmtId="0" fontId="5" fillId="0" borderId="1" pivotButton="0" quotePrefix="0" xfId="0"/>
    <xf numFmtId="164" fontId="5" fillId="0" borderId="1" pivotButton="0" quotePrefix="0" xfId="0"/>
    <xf numFmtId="9" fontId="4" fillId="0" borderId="1" pivotButton="0" quotePrefix="0" xfId="0"/>
    <xf numFmtId="9" fontId="5" fillId="0" borderId="1"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cellXfs>
  <cellStyles count="1">
    <cellStyle name="Normal" xfId="0" builtinId="0" hidden="0"/>
  </cellStyles>
  <dxfs count="4">
    <dxf>
      <font>
        <name val="Arial"/>
        <b val="1"/>
        <color rgb="00166534"/>
      </font>
      <fill>
        <patternFill patternType="solid">
          <fgColor rgb="00DCFCE7"/>
        </patternFill>
      </fill>
    </dxf>
    <dxf>
      <font>
        <name val="Arial"/>
        <b val="1"/>
        <color rgb="00991B1B"/>
      </font>
      <fill>
        <patternFill patternType="solid">
          <fgColor rgb="00FEE2E2"/>
        </patternFill>
      </fill>
    </dxf>
    <dxf>
      <font>
        <name val="Arial"/>
        <b val="1"/>
        <color rgb="0092400E"/>
      </font>
      <fill>
        <patternFill patternType="solid">
          <fgColor rgb="00FEF3C7"/>
        </patternFill>
      </fill>
    </dxf>
    <dxf>
      <fill>
        <patternFill patternType="solid">
          <fgColor rgb="00FEF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s>
  <sheetData>
    <row r="1">
      <c r="A1" s="1" t="inlineStr">
        <is>
          <t>HonTech QA Checklist Summary</t>
        </is>
      </c>
    </row>
    <row r="2">
      <c r="A2" s="2" t="inlineStr">
        <is>
          <t>Counts update automatically from the QA Checklist sheet.</t>
        </is>
      </c>
    </row>
    <row r="3"/>
    <row r="4">
      <c r="A4" s="3" t="inlineStr">
        <is>
          <t>Overall</t>
        </is>
      </c>
      <c r="B4" s="4" t="inlineStr">
        <is>
          <t>Count</t>
        </is>
      </c>
    </row>
    <row r="5">
      <c r="A5" s="5" t="inlineStr">
        <is>
          <t>Total tests</t>
        </is>
      </c>
      <c r="B5" s="5">
        <f>COUNTA('QA Checklist'!$A$5:$A$174)</f>
        <v/>
      </c>
    </row>
    <row r="6">
      <c r="A6" s="5" t="inlineStr">
        <is>
          <t>Passed</t>
        </is>
      </c>
      <c r="B6" s="5">
        <f>COUNTIF('QA Checklist'!$H$5:$H$174,"Passed")+COUNTIF('QA Checklist'!$H$5:$H$174,"Pass")</f>
        <v/>
      </c>
    </row>
    <row r="7">
      <c r="A7" s="5" t="inlineStr">
        <is>
          <t>Failed</t>
        </is>
      </c>
      <c r="B7" s="5">
        <f>COUNTIF('QA Checklist'!$H$5:$H$174,"Failed")+COUNTIF('QA Checklist'!$H$5:$H$174,"Fail")</f>
        <v/>
      </c>
    </row>
    <row r="8">
      <c r="A8" s="5" t="inlineStr">
        <is>
          <t>Pending</t>
        </is>
      </c>
      <c r="B8" s="5">
        <f>COUNTIF('QA Checklist'!$H$5:$H$174,"Pending")</f>
        <v/>
      </c>
    </row>
    <row r="9">
      <c r="A9" s="6" t="inlineStr">
        <is>
          <t>Pass rate (Passed / Total)</t>
        </is>
      </c>
      <c r="B9" s="7">
        <f>IF(B5=0,0,B6/B5)</f>
        <v/>
      </c>
    </row>
    <row r="10"/>
    <row r="11">
      <c r="A11" s="3" t="inlineStr">
        <is>
          <t>By area</t>
        </is>
      </c>
      <c r="B11" s="4" t="inlineStr">
        <is>
          <t>Total</t>
        </is>
      </c>
      <c r="C11" s="4" t="inlineStr">
        <is>
          <t>Passed</t>
        </is>
      </c>
      <c r="D11" s="4" t="inlineStr">
        <is>
          <t>Failed</t>
        </is>
      </c>
      <c r="E11" s="4" t="inlineStr">
        <is>
          <t>Pending</t>
        </is>
      </c>
      <c r="F11" s="4" t="inlineStr">
        <is>
          <t>% Passed</t>
        </is>
      </c>
    </row>
    <row r="12">
      <c r="A12" s="5" t="inlineStr">
        <is>
          <t>AI Workflow</t>
        </is>
      </c>
      <c r="B12" s="5">
        <f>COUNTIF('QA Checklist'!$B$5:$B$174,$A12)</f>
        <v/>
      </c>
      <c r="C12" s="5">
        <f>COUNTIFS('QA Checklist'!$B$5:$B$174,$A12,'QA Checklist'!$H$5:$H$174,"Passed")+COUNTIFS('QA Checklist'!$B$5:$B$174,$A12,'QA Checklist'!$H$5:$H$174,"Pass")</f>
        <v/>
      </c>
      <c r="D12" s="5">
        <f>COUNTIFS('QA Checklist'!$B$5:$B$174,$A12,'QA Checklist'!$H$5:$H$174,"Failed")+COUNTIFS('QA Checklist'!$B$5:$B$174,$A12,'QA Checklist'!$H$5:$H$174,"Fail")</f>
        <v/>
      </c>
      <c r="E12" s="5">
        <f>COUNTIFS('QA Checklist'!$B$5:$B$174,$A12,'QA Checklist'!$H$5:$H$174,"Pending")</f>
        <v/>
      </c>
      <c r="F12" s="8">
        <f>IF(B12=0,0,C12/B12)</f>
        <v/>
      </c>
    </row>
    <row r="13">
      <c r="A13" s="5" t="inlineStr">
        <is>
          <t>Assistant Staff</t>
        </is>
      </c>
      <c r="B13" s="5">
        <f>COUNTIF('QA Checklist'!$B$5:$B$174,$A13)</f>
        <v/>
      </c>
      <c r="C13" s="5">
        <f>COUNTIFS('QA Checklist'!$B$5:$B$174,$A13,'QA Checklist'!$H$5:$H$174,"Passed")+COUNTIFS('QA Checklist'!$B$5:$B$174,$A13,'QA Checklist'!$H$5:$H$174,"Pass")</f>
        <v/>
      </c>
      <c r="D13" s="5">
        <f>COUNTIFS('QA Checklist'!$B$5:$B$174,$A13,'QA Checklist'!$H$5:$H$174,"Failed")+COUNTIFS('QA Checklist'!$B$5:$B$174,$A13,'QA Checklist'!$H$5:$H$174,"Fail")</f>
        <v/>
      </c>
      <c r="E13" s="5">
        <f>COUNTIFS('QA Checklist'!$B$5:$B$174,$A13,'QA Checklist'!$H$5:$H$174,"Pending")</f>
        <v/>
      </c>
      <c r="F13" s="8">
        <f>IF(B13=0,0,C13/B13)</f>
        <v/>
      </c>
    </row>
    <row r="14">
      <c r="A14" s="5" t="inlineStr">
        <is>
          <t>Authentication</t>
        </is>
      </c>
      <c r="B14" s="5">
        <f>COUNTIF('QA Checklist'!$B$5:$B$174,$A14)</f>
        <v/>
      </c>
      <c r="C14" s="5">
        <f>COUNTIFS('QA Checklist'!$B$5:$B$174,$A14,'QA Checklist'!$H$5:$H$174,"Passed")+COUNTIFS('QA Checklist'!$B$5:$B$174,$A14,'QA Checklist'!$H$5:$H$174,"Pass")</f>
        <v/>
      </c>
      <c r="D14" s="5">
        <f>COUNTIFS('QA Checklist'!$B$5:$B$174,$A14,'QA Checklist'!$H$5:$H$174,"Failed")+COUNTIFS('QA Checklist'!$B$5:$B$174,$A14,'QA Checklist'!$H$5:$H$174,"Fail")</f>
        <v/>
      </c>
      <c r="E14" s="5">
        <f>COUNTIFS('QA Checklist'!$B$5:$B$174,$A14,'QA Checklist'!$H$5:$H$174,"Pending")</f>
        <v/>
      </c>
      <c r="F14" s="8">
        <f>IF(B14=0,0,C14/B14)</f>
        <v/>
      </c>
    </row>
    <row r="15">
      <c r="A15" s="5" t="inlineStr">
        <is>
          <t>Developer Tooling</t>
        </is>
      </c>
      <c r="B15" s="5">
        <f>COUNTIF('QA Checklist'!$B$5:$B$174,$A15)</f>
        <v/>
      </c>
      <c r="C15" s="5">
        <f>COUNTIFS('QA Checklist'!$B$5:$B$174,$A15,'QA Checklist'!$H$5:$H$174,"Passed")+COUNTIFS('QA Checklist'!$B$5:$B$174,$A15,'QA Checklist'!$H$5:$H$174,"Pass")</f>
        <v/>
      </c>
      <c r="D15" s="5">
        <f>COUNTIFS('QA Checklist'!$B$5:$B$174,$A15,'QA Checklist'!$H$5:$H$174,"Failed")+COUNTIFS('QA Checklist'!$B$5:$B$174,$A15,'QA Checklist'!$H$5:$H$174,"Fail")</f>
        <v/>
      </c>
      <c r="E15" s="5">
        <f>COUNTIFS('QA Checklist'!$B$5:$B$174,$A15,'QA Checklist'!$H$5:$H$174,"Pending")</f>
        <v/>
      </c>
      <c r="F15" s="8">
        <f>IF(B15=0,0,C15/B15)</f>
        <v/>
      </c>
    </row>
    <row r="16">
      <c r="A16" s="5" t="inlineStr">
        <is>
          <t>Diagnostics</t>
        </is>
      </c>
      <c r="B16" s="5">
        <f>COUNTIF('QA Checklist'!$B$5:$B$174,$A16)</f>
        <v/>
      </c>
      <c r="C16" s="5">
        <f>COUNTIFS('QA Checklist'!$B$5:$B$174,$A16,'QA Checklist'!$H$5:$H$174,"Passed")+COUNTIFS('QA Checklist'!$B$5:$B$174,$A16,'QA Checklist'!$H$5:$H$174,"Pass")</f>
        <v/>
      </c>
      <c r="D16" s="5">
        <f>COUNTIFS('QA Checklist'!$B$5:$B$174,$A16,'QA Checklist'!$H$5:$H$174,"Failed")+COUNTIFS('QA Checklist'!$B$5:$B$174,$A16,'QA Checklist'!$H$5:$H$174,"Fail")</f>
        <v/>
      </c>
      <c r="E16" s="5">
        <f>COUNTIFS('QA Checklist'!$B$5:$B$174,$A16,'QA Checklist'!$H$5:$H$174,"Pending")</f>
        <v/>
      </c>
      <c r="F16" s="8">
        <f>IF(B16=0,0,C16/B16)</f>
        <v/>
      </c>
    </row>
    <row r="17">
      <c r="A17" s="5" t="inlineStr">
        <is>
          <t>Owner / Analytics</t>
        </is>
      </c>
      <c r="B17" s="5">
        <f>COUNTIF('QA Checklist'!$B$5:$B$174,$A17)</f>
        <v/>
      </c>
      <c r="C17" s="5">
        <f>COUNTIFS('QA Checklist'!$B$5:$B$174,$A17,'QA Checklist'!$H$5:$H$174,"Passed")+COUNTIFS('QA Checklist'!$B$5:$B$174,$A17,'QA Checklist'!$H$5:$H$174,"Pass")</f>
        <v/>
      </c>
      <c r="D17" s="5">
        <f>COUNTIFS('QA Checklist'!$B$5:$B$174,$A17,'QA Checklist'!$H$5:$H$174,"Failed")+COUNTIFS('QA Checklist'!$B$5:$B$174,$A17,'QA Checklist'!$H$5:$H$174,"Fail")</f>
        <v/>
      </c>
      <c r="E17" s="5">
        <f>COUNTIFS('QA Checklist'!$B$5:$B$174,$A17,'QA Checklist'!$H$5:$H$174,"Pending")</f>
        <v/>
      </c>
      <c r="F17" s="8">
        <f>IF(B17=0,0,C17/B17)</f>
        <v/>
      </c>
    </row>
    <row r="18">
      <c r="A18" s="5" t="inlineStr">
        <is>
          <t>SA 2025 RO Studio</t>
        </is>
      </c>
      <c r="B18" s="5">
        <f>COUNTIF('QA Checklist'!$B$5:$B$174,$A18)</f>
        <v/>
      </c>
      <c r="C18" s="5">
        <f>COUNTIFS('QA Checklist'!$B$5:$B$174,$A18,'QA Checklist'!$H$5:$H$174,"Passed")+COUNTIFS('QA Checklist'!$B$5:$B$174,$A18,'QA Checklist'!$H$5:$H$174,"Pass")</f>
        <v/>
      </c>
      <c r="D18" s="5">
        <f>COUNTIFS('QA Checklist'!$B$5:$B$174,$A18,'QA Checklist'!$H$5:$H$174,"Failed")+COUNTIFS('QA Checklist'!$B$5:$B$174,$A18,'QA Checklist'!$H$5:$H$174,"Fail")</f>
        <v/>
      </c>
      <c r="E18" s="5">
        <f>COUNTIFS('QA Checklist'!$B$5:$B$174,$A18,'QA Checklist'!$H$5:$H$174,"Pending")</f>
        <v/>
      </c>
      <c r="F18" s="8">
        <f>IF(B18=0,0,C18/B18)</f>
        <v/>
      </c>
    </row>
    <row r="19">
      <c r="A19" s="5" t="inlineStr">
        <is>
          <t>Security &amp; RBAC</t>
        </is>
      </c>
      <c r="B19" s="5">
        <f>COUNTIF('QA Checklist'!$B$5:$B$174,$A19)</f>
        <v/>
      </c>
      <c r="C19" s="5">
        <f>COUNTIFS('QA Checklist'!$B$5:$B$174,$A19,'QA Checklist'!$H$5:$H$174,"Passed")+COUNTIFS('QA Checklist'!$B$5:$B$174,$A19,'QA Checklist'!$H$5:$H$174,"Pass")</f>
        <v/>
      </c>
      <c r="D19" s="5">
        <f>COUNTIFS('QA Checklist'!$B$5:$B$174,$A19,'QA Checklist'!$H$5:$H$174,"Failed")+COUNTIFS('QA Checklist'!$B$5:$B$174,$A19,'QA Checklist'!$H$5:$H$174,"Fail")</f>
        <v/>
      </c>
      <c r="E19" s="5">
        <f>COUNTIFS('QA Checklist'!$B$5:$B$174,$A19,'QA Checklist'!$H$5:$H$174,"Pending")</f>
        <v/>
      </c>
      <c r="F19" s="8">
        <f>IF(B19=0,0,C19/B19)</f>
        <v/>
      </c>
    </row>
    <row r="20">
      <c r="A20" s="5" t="inlineStr">
        <is>
          <t>Service Advisor</t>
        </is>
      </c>
      <c r="B20" s="5">
        <f>COUNTIF('QA Checklist'!$B$5:$B$174,$A20)</f>
        <v/>
      </c>
      <c r="C20" s="5">
        <f>COUNTIFS('QA Checklist'!$B$5:$B$174,$A20,'QA Checklist'!$H$5:$H$174,"Passed")+COUNTIFS('QA Checklist'!$B$5:$B$174,$A20,'QA Checklist'!$H$5:$H$174,"Pass")</f>
        <v/>
      </c>
      <c r="D20" s="5">
        <f>COUNTIFS('QA Checklist'!$B$5:$B$174,$A20,'QA Checklist'!$H$5:$H$174,"Failed")+COUNTIFS('QA Checklist'!$B$5:$B$174,$A20,'QA Checklist'!$H$5:$H$174,"Fail")</f>
        <v/>
      </c>
      <c r="E20" s="5">
        <f>COUNTIFS('QA Checklist'!$B$5:$B$174,$A20,'QA Checklist'!$H$5:$H$174,"Pending")</f>
        <v/>
      </c>
      <c r="F20" s="8">
        <f>IF(B20=0,0,C20/B20)</f>
        <v/>
      </c>
    </row>
    <row r="21">
      <c r="A21" s="5" t="inlineStr">
        <is>
          <t>Staff Access</t>
        </is>
      </c>
      <c r="B21" s="5">
        <f>COUNTIF('QA Checklist'!$B$5:$B$174,$A21)</f>
        <v/>
      </c>
      <c r="C21" s="5">
        <f>COUNTIFS('QA Checklist'!$B$5:$B$174,$A21,'QA Checklist'!$H$5:$H$174,"Passed")+COUNTIFS('QA Checklist'!$B$5:$B$174,$A21,'QA Checklist'!$H$5:$H$174,"Pass")</f>
        <v/>
      </c>
      <c r="D21" s="5">
        <f>COUNTIFS('QA Checklist'!$B$5:$B$174,$A21,'QA Checklist'!$H$5:$H$174,"Failed")+COUNTIFS('QA Checklist'!$B$5:$B$174,$A21,'QA Checklist'!$H$5:$H$174,"Fail")</f>
        <v/>
      </c>
      <c r="E21" s="5">
        <f>COUNTIFS('QA Checklist'!$B$5:$B$174,$A21,'QA Checklist'!$H$5:$H$174,"Pending")</f>
        <v/>
      </c>
      <c r="F21" s="8">
        <f>IF(B21=0,0,C21/B21)</f>
        <v/>
      </c>
    </row>
    <row r="22">
      <c r="A22" s="5" t="inlineStr">
        <is>
          <t>TV Monitor</t>
        </is>
      </c>
      <c r="B22" s="5">
        <f>COUNTIF('QA Checklist'!$B$5:$B$174,$A22)</f>
        <v/>
      </c>
      <c r="C22" s="5">
        <f>COUNTIFS('QA Checklist'!$B$5:$B$174,$A22,'QA Checklist'!$H$5:$H$174,"Passed")+COUNTIFS('QA Checklist'!$B$5:$B$174,$A22,'QA Checklist'!$H$5:$H$174,"Pass")</f>
        <v/>
      </c>
      <c r="D22" s="5">
        <f>COUNTIFS('QA Checklist'!$B$5:$B$174,$A22,'QA Checklist'!$H$5:$H$174,"Failed")+COUNTIFS('QA Checklist'!$B$5:$B$174,$A22,'QA Checklist'!$H$5:$H$174,"Fail")</f>
        <v/>
      </c>
      <c r="E22" s="5">
        <f>COUNTIFS('QA Checklist'!$B$5:$B$174,$A22,'QA Checklist'!$H$5:$H$174,"Pending")</f>
        <v/>
      </c>
      <c r="F22" s="8">
        <f>IF(B22=0,0,C22/B22)</f>
        <v/>
      </c>
    </row>
    <row r="23">
      <c r="A23" s="6" t="inlineStr">
        <is>
          <t>Total</t>
        </is>
      </c>
      <c r="B23" s="6">
        <f>SUM(B12:B22)</f>
        <v/>
      </c>
      <c r="C23" s="6">
        <f>SUM(C12:C22)</f>
        <v/>
      </c>
      <c r="D23" s="6">
        <f>SUM(D12:D22)</f>
        <v/>
      </c>
      <c r="E23" s="6">
        <f>SUM(E12:E22)</f>
        <v/>
      </c>
      <c r="F23" s="9">
        <f>IF(B23=0,0,C23/B23)</f>
        <v/>
      </c>
    </row>
    <row r="24"/>
    <row r="25">
      <c r="A25" s="3" t="inlineStr">
        <is>
          <t>By risk tier</t>
        </is>
      </c>
      <c r="B25" s="4" t="inlineStr">
        <is>
          <t>Total</t>
        </is>
      </c>
      <c r="C25" s="4" t="inlineStr">
        <is>
          <t>Passed</t>
        </is>
      </c>
      <c r="D25" s="4" t="inlineStr">
        <is>
          <t>Failed</t>
        </is>
      </c>
      <c r="E25" s="4" t="inlineStr">
        <is>
          <t>Pending</t>
        </is>
      </c>
    </row>
    <row r="26">
      <c r="A26" s="5" t="inlineStr">
        <is>
          <t>Tier 1</t>
        </is>
      </c>
      <c r="B26" s="5">
        <f>COUNTIF('QA Checklist'!$C$5:$C$174,$A26&amp;"*")</f>
        <v/>
      </c>
      <c r="C26" s="5">
        <f>COUNTIFS('QA Checklist'!$C$5:$C$174,$A26&amp;"*",'QA Checklist'!$H$5:$H$174,"Passed")+COUNTIFS('QA Checklist'!$C$5:$C$174,$A26&amp;"*",'QA Checklist'!$H$5:$H$174,"Pass")</f>
        <v/>
      </c>
      <c r="D26" s="5">
        <f>COUNTIFS('QA Checklist'!$C$5:$C$174,$A26&amp;"*",'QA Checklist'!$H$5:$H$174,"Failed")+COUNTIFS('QA Checklist'!$C$5:$C$174,$A26&amp;"*",'QA Checklist'!$H$5:$H$174,"Fail")</f>
        <v/>
      </c>
      <c r="E26" s="5">
        <f>COUNTIFS('QA Checklist'!$C$5:$C$174,$A26&amp;"*",'QA Checklist'!$H$5:$H$174,"Pending")</f>
        <v/>
      </c>
    </row>
    <row r="27">
      <c r="A27" s="5" t="inlineStr">
        <is>
          <t>Tier 2</t>
        </is>
      </c>
      <c r="B27" s="5">
        <f>COUNTIF('QA Checklist'!$C$5:$C$174,$A27&amp;"*")</f>
        <v/>
      </c>
      <c r="C27" s="5">
        <f>COUNTIFS('QA Checklist'!$C$5:$C$174,$A27&amp;"*",'QA Checklist'!$H$5:$H$174,"Passed")+COUNTIFS('QA Checklist'!$C$5:$C$174,$A27&amp;"*",'QA Checklist'!$H$5:$H$174,"Pass")</f>
        <v/>
      </c>
      <c r="D27" s="5">
        <f>COUNTIFS('QA Checklist'!$C$5:$C$174,$A27&amp;"*",'QA Checklist'!$H$5:$H$174,"Failed")+COUNTIFS('QA Checklist'!$C$5:$C$174,$A27&amp;"*",'QA Checklist'!$H$5:$H$174,"Fail")</f>
        <v/>
      </c>
      <c r="E27" s="5">
        <f>COUNTIFS('QA Checklist'!$C$5:$C$174,$A27&amp;"*",'QA Checklist'!$H$5:$H$174,"Pending")</f>
        <v/>
      </c>
    </row>
    <row r="28">
      <c r="A28" s="5" t="inlineStr">
        <is>
          <t>Tier 3</t>
        </is>
      </c>
      <c r="B28" s="5">
        <f>COUNTIF('QA Checklist'!$C$5:$C$174,$A28&amp;"*")</f>
        <v/>
      </c>
      <c r="C28" s="5">
        <f>COUNTIFS('QA Checklist'!$C$5:$C$174,$A28&amp;"*",'QA Checklist'!$H$5:$H$174,"Passed")+COUNTIFS('QA Checklist'!$C$5:$C$174,$A28&amp;"*",'QA Checklist'!$H$5:$H$174,"Pass")</f>
        <v/>
      </c>
      <c r="D28" s="5">
        <f>COUNTIFS('QA Checklist'!$C$5:$C$174,$A28&amp;"*",'QA Checklist'!$H$5:$H$174,"Failed")+COUNTIFS('QA Checklist'!$C$5:$C$174,$A28&amp;"*",'QA Checklist'!$H$5:$H$174,"Fail")</f>
        <v/>
      </c>
      <c r="E28" s="5">
        <f>COUNTIFS('QA Checklist'!$C$5:$C$174,$A28&amp;"*",'QA Checklist'!$H$5:$H$174,"Pending")</f>
        <v/>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17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2" customWidth="1" min="3" max="3"/>
    <col width="28" customWidth="1" min="4" max="4"/>
    <col width="20" customWidth="1" min="5" max="5"/>
    <col width="45" customWidth="1" min="6" max="6"/>
    <col width="70" customWidth="1" min="7" max="7"/>
    <col width="12" customWidth="1" min="8" max="8"/>
    <col width="40" customWidth="1" min="9" max="9"/>
  </cols>
  <sheetData>
    <row r="1">
      <c r="A1" s="1" t="inlineStr">
        <is>
          <t>HonTech QA Test Checklist</t>
        </is>
      </c>
    </row>
    <row r="2" ht="30" customHeight="1">
      <c r="A2" s="10" t="inlineStr">
        <is>
          <t>Source: Hontech Documentation/HONTECH_QA_TEST_CHECKLIST.csv. Testers: set the Status column (dropdown: Pending / Passed / Failed) and write what you observed in Tester Notes. Use the filter arrows on row 4 to show one role, area or status. Yellow Test ID = ID used more than once.</t>
        </is>
      </c>
    </row>
    <row r="4" ht="30" customHeight="1">
      <c r="A4" s="11" t="inlineStr">
        <is>
          <t>Test ID</t>
        </is>
      </c>
      <c r="B4" s="11" t="inlineStr">
        <is>
          <t>Area</t>
        </is>
      </c>
      <c r="C4" s="11" t="inlineStr">
        <is>
          <t>Risk Tier</t>
        </is>
      </c>
      <c r="D4" s="11" t="inlineStr">
        <is>
          <t>Module / Category</t>
        </is>
      </c>
      <c r="E4" s="11" t="inlineStr">
        <is>
          <t>Target Role</t>
        </is>
      </c>
      <c r="F4" s="11" t="inlineStr">
        <is>
          <t>Action Under Test</t>
        </is>
      </c>
      <c r="G4" s="11" t="inlineStr">
        <is>
          <t>Expected Behavior</t>
        </is>
      </c>
      <c r="H4" s="11" t="inlineStr">
        <is>
          <t>Status</t>
        </is>
      </c>
      <c r="I4" s="11" t="inlineStr">
        <is>
          <t>Tester Notes / Observed Behavior</t>
        </is>
      </c>
    </row>
    <row r="5">
      <c r="A5" s="12" t="inlineStr">
        <is>
          <t>AUTH-01</t>
        </is>
      </c>
      <c r="B5" s="13" t="inlineStr">
        <is>
          <t>Authentication</t>
        </is>
      </c>
      <c r="C5" s="13" t="inlineStr">
        <is>
          <t>Tier 3 (Shared Core)</t>
        </is>
      </c>
      <c r="D5" s="13" t="inlineStr">
        <is>
          <t>Authentication</t>
        </is>
      </c>
      <c r="E5" s="13" t="inlineStr">
        <is>
          <t>All Roles</t>
        </is>
      </c>
      <c r="F5" s="13" t="inlineStr">
        <is>
          <t>Login with Valid Credentials (owner@hontech.com / admin123)</t>
        </is>
      </c>
      <c r="G5" s="13" t="inlineStr">
        <is>
          <t>Authenticates and redirects to role dashboard without blank screen</t>
        </is>
      </c>
      <c r="H5" s="14" t="inlineStr">
        <is>
          <t>Pending</t>
        </is>
      </c>
      <c r="I5" s="13" t="inlineStr"/>
    </row>
    <row r="6">
      <c r="A6" s="12" t="inlineStr">
        <is>
          <t>AUTH-02</t>
        </is>
      </c>
      <c r="B6" s="13" t="inlineStr">
        <is>
          <t>Authentication</t>
        </is>
      </c>
      <c r="C6" s="13" t="inlineStr">
        <is>
          <t>Tier 2 (Single-Role)</t>
        </is>
      </c>
      <c r="D6" s="13" t="inlineStr">
        <is>
          <t>Authentication</t>
        </is>
      </c>
      <c r="E6" s="13" t="inlineStr">
        <is>
          <t>All Roles</t>
        </is>
      </c>
      <c r="F6" s="13" t="inlineStr">
        <is>
          <t>Login with Invalid Password</t>
        </is>
      </c>
      <c r="G6" s="13" t="inlineStr">
        <is>
          <t>Displays clear error toast "Invalid email or password" without crash</t>
        </is>
      </c>
      <c r="H6" s="14" t="inlineStr">
        <is>
          <t>Pending</t>
        </is>
      </c>
      <c r="I6" s="13" t="inlineStr"/>
    </row>
    <row r="7">
      <c r="A7" s="12" t="inlineStr">
        <is>
          <t>AUTH-03</t>
        </is>
      </c>
      <c r="B7" s="13" t="inlineStr">
        <is>
          <t>Authentication</t>
        </is>
      </c>
      <c r="C7" s="13" t="inlineStr">
        <is>
          <t>Tier 2 (Single-Role)</t>
        </is>
      </c>
      <c r="D7" s="13" t="inlineStr">
        <is>
          <t>Authentication</t>
        </is>
      </c>
      <c r="E7" s="13" t="inlineStr">
        <is>
          <t>All Roles</t>
        </is>
      </c>
      <c r="F7" s="13" t="inlineStr">
        <is>
          <t>Forgot Password PIN Verification</t>
        </is>
      </c>
      <c r="G7" s="13" t="inlineStr">
        <is>
          <t>Validates 4-digit security PIN and allows setting new password</t>
        </is>
      </c>
      <c r="H7" s="14" t="inlineStr">
        <is>
          <t>Pending</t>
        </is>
      </c>
      <c r="I7" s="13" t="inlineStr"/>
    </row>
    <row r="8">
      <c r="A8" s="12" t="inlineStr">
        <is>
          <t>AUTH-04</t>
        </is>
      </c>
      <c r="B8" s="13" t="inlineStr">
        <is>
          <t>Authentication</t>
        </is>
      </c>
      <c r="C8" s="13" t="inlineStr">
        <is>
          <t>Tier 1 (Visual/Cosmetic)</t>
        </is>
      </c>
      <c r="D8" s="13" t="inlineStr">
        <is>
          <t>Authentication</t>
        </is>
      </c>
      <c r="E8" s="13" t="inlineStr">
        <is>
          <t>All Roles</t>
        </is>
      </c>
      <c r="F8" s="13" t="inlineStr">
        <is>
          <t>Quick-Copy Dev Credentials Badges</t>
        </is>
      </c>
      <c r="G8" s="13" t="inlineStr">
        <is>
          <t>Clicking credential badge auto-fills email and password inputs instantly</t>
        </is>
      </c>
      <c r="H8" s="14" t="inlineStr">
        <is>
          <t>Pending</t>
        </is>
      </c>
      <c r="I8" s="13" t="inlineStr"/>
    </row>
    <row r="9">
      <c r="A9" s="12" t="inlineStr">
        <is>
          <t>AUTH-05</t>
        </is>
      </c>
      <c r="B9" s="13" t="inlineStr">
        <is>
          <t>Authentication</t>
        </is>
      </c>
      <c r="C9" s="13" t="inlineStr">
        <is>
          <t>Tier 3 (Shared Core)</t>
        </is>
      </c>
      <c r="D9" s="13" t="inlineStr">
        <is>
          <t>Authentication</t>
        </is>
      </c>
      <c r="E9" s="13" t="inlineStr">
        <is>
          <t>All Roles</t>
        </is>
      </c>
      <c r="F9" s="13" t="inlineStr">
        <is>
          <t>Session Presence Ping (Heartbeat)</t>
        </is>
      </c>
      <c r="G9" s="13" t="inlineStr">
        <is>
          <t>Background ping sends every 30s to keep user status online in database</t>
        </is>
      </c>
      <c r="H9" s="14" t="inlineStr">
        <is>
          <t>Pending</t>
        </is>
      </c>
      <c r="I9" s="13" t="inlineStr"/>
    </row>
    <row r="10">
      <c r="A10" s="12" t="inlineStr">
        <is>
          <t>AUTH-06</t>
        </is>
      </c>
      <c r="B10" s="13" t="inlineStr">
        <is>
          <t>Authentication</t>
        </is>
      </c>
      <c r="C10" s="13" t="inlineStr">
        <is>
          <t>Tier 3 (Shared Core)</t>
        </is>
      </c>
      <c r="D10" s="13" t="inlineStr">
        <is>
          <t>Authentication</t>
        </is>
      </c>
      <c r="E10" s="13" t="inlineStr">
        <is>
          <t>All Roles</t>
        </is>
      </c>
      <c r="F10" s="13" t="inlineStr">
        <is>
          <t>Logout Flow</t>
        </is>
      </c>
      <c r="G10" s="13" t="inlineStr">
        <is>
          <t>Clears active JWT session and smoothly redirects back to login portal</t>
        </is>
      </c>
      <c r="H10" s="14" t="inlineStr">
        <is>
          <t>Pending</t>
        </is>
      </c>
      <c r="I10" s="13" t="inlineStr"/>
    </row>
    <row r="11">
      <c r="A11" s="12" t="inlineStr">
        <is>
          <t>AUTH-07</t>
        </is>
      </c>
      <c r="B11" s="13" t="inlineStr">
        <is>
          <t>Authentication</t>
        </is>
      </c>
      <c r="C11" s="13" t="inlineStr">
        <is>
          <t>Tier 3 (Shared Core)</t>
        </is>
      </c>
      <c r="D11" s="13" t="inlineStr">
        <is>
          <t>Authentication</t>
        </is>
      </c>
      <c r="E11" s="13" t="inlineStr">
        <is>
          <t>Assistant Staff</t>
        </is>
      </c>
      <c r="F11" s="13" t="inlineStr">
        <is>
          <t>RBAC Route Protection Check</t>
        </is>
      </c>
      <c r="G11" s="13" t="inlineStr">
        <is>
          <t>Attempting to query /api/auth/staff returns 403 Forbidden</t>
        </is>
      </c>
      <c r="H11" s="14" t="inlineStr">
        <is>
          <t>Pending</t>
        </is>
      </c>
      <c r="I11" s="13" t="inlineStr"/>
    </row>
    <row r="12">
      <c r="A12" s="12" t="inlineStr">
        <is>
          <t>OWN-01</t>
        </is>
      </c>
      <c r="B12" s="13" t="inlineStr">
        <is>
          <t>Owner / Analytics</t>
        </is>
      </c>
      <c r="C12" s="13" t="inlineStr">
        <is>
          <t>Tier 2 (Single-Role)</t>
        </is>
      </c>
      <c r="D12" s="13" t="inlineStr">
        <is>
          <t>Analytics Overview</t>
        </is>
      </c>
      <c r="E12" s="13" t="inlineStr">
        <is>
          <t>Owner</t>
        </is>
      </c>
      <c r="F12" s="13" t="inlineStr">
        <is>
          <t>KPI Metrics Calculation (Released Today, In Bays, Total)</t>
        </is>
      </c>
      <c r="G12" s="13" t="inlineStr">
        <is>
          <t>Cards calculate real totals from MySQL data and show subtext badges</t>
        </is>
      </c>
      <c r="H12" s="14" t="inlineStr">
        <is>
          <t>Pending</t>
        </is>
      </c>
      <c r="I12" s="13" t="inlineStr"/>
    </row>
    <row r="13">
      <c r="A13" s="12" t="inlineStr">
        <is>
          <t>OWN-02</t>
        </is>
      </c>
      <c r="B13" s="13" t="inlineStr">
        <is>
          <t>Owner / Analytics</t>
        </is>
      </c>
      <c r="C13" s="13" t="inlineStr">
        <is>
          <t>Tier 2 (Single-Role)</t>
        </is>
      </c>
      <c r="D13" s="13" t="inlineStr">
        <is>
          <t>Analytics Overview</t>
        </is>
      </c>
      <c r="E13" s="13" t="inlineStr">
        <is>
          <t>Owner</t>
        </is>
      </c>
      <c r="F13" s="13" t="inlineStr">
        <is>
          <t>Volume Trends Line Chart Rendering</t>
        </is>
      </c>
      <c r="G13" s="13" t="inlineStr">
        <is>
          <t>Chart.js canvas renders daily vehicle throughput without script errors</t>
        </is>
      </c>
      <c r="H13" s="14" t="inlineStr">
        <is>
          <t>Pending</t>
        </is>
      </c>
      <c r="I13" s="13" t="inlineStr"/>
    </row>
    <row r="14">
      <c r="A14" s="12" t="inlineStr">
        <is>
          <t>OWN-03</t>
        </is>
      </c>
      <c r="B14" s="13" t="inlineStr">
        <is>
          <t>Owner / Analytics</t>
        </is>
      </c>
      <c r="C14" s="13" t="inlineStr">
        <is>
          <t>Tier 1 (Visual/Cosmetic)</t>
        </is>
      </c>
      <c r="D14" s="13" t="inlineStr">
        <is>
          <t>Analytics Overview</t>
        </is>
      </c>
      <c r="E14" s="13" t="inlineStr">
        <is>
          <t>Owner</t>
        </is>
      </c>
      <c r="F14" s="13" t="inlineStr">
        <is>
          <t>Service Category Breakdown Doughnut Chart</t>
        </is>
      </c>
      <c r="G14" s="13" t="inlineStr">
        <is>
          <t>Renders PMS, GRS, PMS &amp; GRS, Others proportions accurately</t>
        </is>
      </c>
      <c r="H14" s="14" t="inlineStr">
        <is>
          <t>Pending</t>
        </is>
      </c>
      <c r="I14" s="13" t="inlineStr"/>
    </row>
    <row r="15">
      <c r="A15" s="12" t="inlineStr">
        <is>
          <t>OWN-04</t>
        </is>
      </c>
      <c r="B15" s="13" t="inlineStr">
        <is>
          <t>Owner / Analytics</t>
        </is>
      </c>
      <c r="C15" s="13" t="inlineStr">
        <is>
          <t>Tier 2 (Single-Role)</t>
        </is>
      </c>
      <c r="D15" s="13" t="inlineStr">
        <is>
          <t>Analytics Overview</t>
        </is>
      </c>
      <c r="E15" s="13" t="inlineStr">
        <is>
          <t>Owner</t>
        </is>
      </c>
      <c r="F15" s="13" t="inlineStr">
        <is>
          <t>Period Record Log Table Sub-Tab Access</t>
        </is>
      </c>
      <c r="G15" s="13" t="inlineStr">
        <is>
          <t>Sub-tab 3 displays historical and active operational records table</t>
        </is>
      </c>
      <c r="H15" s="14" t="inlineStr">
        <is>
          <t>Pending</t>
        </is>
      </c>
      <c r="I15" s="13" t="inlineStr"/>
    </row>
    <row r="16">
      <c r="A16" s="12" t="inlineStr">
        <is>
          <t>OWN-05</t>
        </is>
      </c>
      <c r="B16" s="13" t="inlineStr">
        <is>
          <t>Owner / Analytics</t>
        </is>
      </c>
      <c r="C16" s="13" t="inlineStr">
        <is>
          <t>Tier 2 (Single-Role)</t>
        </is>
      </c>
      <c r="D16" s="13" t="inlineStr">
        <is>
          <t>Analytics Overview</t>
        </is>
      </c>
      <c r="E16" s="13" t="inlineStr">
        <is>
          <t>Owner</t>
        </is>
      </c>
      <c r="F16" s="13" t="inlineStr">
        <is>
          <t>Period Log Column Header Sorting (ASC/DESC)</t>
        </is>
      </c>
      <c r="G16" s="13" t="inlineStr">
        <is>
          <t>Clicking headers (Plate, Date, SLA) toggles sorting with arrow indicators</t>
        </is>
      </c>
      <c r="H16" s="14" t="inlineStr">
        <is>
          <t>Pending</t>
        </is>
      </c>
      <c r="I16" s="13" t="inlineStr"/>
    </row>
    <row r="17">
      <c r="A17" s="12" t="inlineStr">
        <is>
          <t>OWN-06</t>
        </is>
      </c>
      <c r="B17" s="13" t="inlineStr">
        <is>
          <t>Owner / Analytics</t>
        </is>
      </c>
      <c r="C17" s="13" t="inlineStr">
        <is>
          <t>Tier 2 (Single-Role)</t>
        </is>
      </c>
      <c r="D17" s="13" t="inlineStr">
        <is>
          <t>Analytics Overview</t>
        </is>
      </c>
      <c r="E17" s="13" t="inlineStr">
        <is>
          <t>Owner</t>
        </is>
      </c>
      <c r="F17" s="13" t="inlineStr">
        <is>
          <t>Period Log Filters (Date Range, Branch, SA, Status)</t>
        </is>
      </c>
      <c r="G17" s="13" t="inlineStr">
        <is>
          <t>Filters table records dynamically and updates matching record count badge</t>
        </is>
      </c>
      <c r="H17" s="14" t="inlineStr">
        <is>
          <t>Pending</t>
        </is>
      </c>
      <c r="I17" s="13" t="inlineStr"/>
    </row>
    <row r="18">
      <c r="A18" s="12" t="inlineStr">
        <is>
          <t>OWN-07</t>
        </is>
      </c>
      <c r="B18" s="13" t="inlineStr">
        <is>
          <t>Owner / Analytics</t>
        </is>
      </c>
      <c r="C18" s="13" t="inlineStr">
        <is>
          <t>Tier 2 (Single-Role)</t>
        </is>
      </c>
      <c r="D18" s="13" t="inlineStr">
        <is>
          <t>Analytics Overview</t>
        </is>
      </c>
      <c r="E18" s="13" t="inlineStr">
        <is>
          <t>Owner</t>
        </is>
      </c>
      <c r="F18" s="13" t="inlineStr">
        <is>
          <t>Export to CSV / Excel Button</t>
        </is>
      </c>
      <c r="G18" s="13" t="inlineStr">
        <is>
          <t>Downloads formatted .csv file matching currently filtered rows</t>
        </is>
      </c>
      <c r="H18" s="14" t="inlineStr">
        <is>
          <t>Pending</t>
        </is>
      </c>
      <c r="I18" s="13" t="inlineStr"/>
    </row>
    <row r="19">
      <c r="A19" s="12" t="inlineStr">
        <is>
          <t>OWN-08</t>
        </is>
      </c>
      <c r="B19" s="13" t="inlineStr">
        <is>
          <t>Owner / Analytics</t>
        </is>
      </c>
      <c r="C19" s="13" t="inlineStr">
        <is>
          <t>Tier 2 (Single-Role)</t>
        </is>
      </c>
      <c r="D19" s="13" t="inlineStr">
        <is>
          <t>Analytics Overview</t>
        </is>
      </c>
      <c r="E19" s="13" t="inlineStr">
        <is>
          <t>Owner</t>
        </is>
      </c>
      <c r="F19" s="13" t="inlineStr">
        <is>
          <t>Formal Report Download Modal (PDF, Word, Excel)</t>
        </is>
      </c>
      <c r="G19" s="13" t="inlineStr">
        <is>
          <t>Opens modal allowing report type, date range, and format selection</t>
        </is>
      </c>
      <c r="H19" s="14" t="inlineStr">
        <is>
          <t>Pending</t>
        </is>
      </c>
      <c r="I19" s="13" t="inlineStr"/>
    </row>
    <row r="20">
      <c r="A20" s="12" t="inlineStr">
        <is>
          <t>STF-01</t>
        </is>
      </c>
      <c r="B20" s="13" t="inlineStr">
        <is>
          <t>Staff Access</t>
        </is>
      </c>
      <c r="C20" s="13" t="inlineStr">
        <is>
          <t>Tier 2 (Single-Role)</t>
        </is>
      </c>
      <c r="D20" s="13" t="inlineStr">
        <is>
          <t>Staff Access</t>
        </is>
      </c>
      <c r="E20" s="13" t="inlineStr">
        <is>
          <t>Owner / Admin</t>
        </is>
      </c>
      <c r="F20" s="13" t="inlineStr">
        <is>
          <t>Staff Roster Table Rendering</t>
        </is>
      </c>
      <c r="G20" s="13" t="inlineStr">
        <is>
          <t>Displays all staff with name, role, email, branch, and status badges</t>
        </is>
      </c>
      <c r="H20" s="14" t="inlineStr">
        <is>
          <t>Pending</t>
        </is>
      </c>
      <c r="I20" s="13" t="inlineStr"/>
    </row>
    <row r="21">
      <c r="A21" s="12" t="inlineStr">
        <is>
          <t>STF-02</t>
        </is>
      </c>
      <c r="B21" s="13" t="inlineStr">
        <is>
          <t>Staff Access</t>
        </is>
      </c>
      <c r="C21" s="13" t="inlineStr">
        <is>
          <t>Tier 2 (Single-Role)</t>
        </is>
      </c>
      <c r="D21" s="13" t="inlineStr">
        <is>
          <t>Staff Access</t>
        </is>
      </c>
      <c r="E21" s="13" t="inlineStr">
        <is>
          <t>Owner / Admin</t>
        </is>
      </c>
      <c r="F21" s="13" t="inlineStr">
        <is>
          <t>Add Personnel Modal Submission</t>
        </is>
      </c>
      <c r="G21" s="13" t="inlineStr">
        <is>
          <t>Creates staff account in MySQL and immediately updates roster table</t>
        </is>
      </c>
      <c r="H21" s="14" t="inlineStr">
        <is>
          <t>Pending</t>
        </is>
      </c>
      <c r="I21" s="13" t="inlineStr"/>
    </row>
    <row r="22">
      <c r="A22" s="12" t="inlineStr">
        <is>
          <t>STF-03</t>
        </is>
      </c>
      <c r="B22" s="13" t="inlineStr">
        <is>
          <t>Staff Access</t>
        </is>
      </c>
      <c r="C22" s="13" t="inlineStr">
        <is>
          <t>Tier 2 (Single-Role)</t>
        </is>
      </c>
      <c r="D22" s="13" t="inlineStr">
        <is>
          <t>Staff Access</t>
        </is>
      </c>
      <c r="E22" s="13" t="inlineStr">
        <is>
          <t>Owner / Admin</t>
        </is>
      </c>
      <c r="F22" s="13" t="inlineStr">
        <is>
          <t>Duplicate Email Validation Check</t>
        </is>
      </c>
      <c r="G22" s="13" t="inlineStr">
        <is>
          <t>Prevents creating duplicate email accounts with actionable toast warning</t>
        </is>
      </c>
      <c r="H22" s="14" t="inlineStr">
        <is>
          <t>Pending</t>
        </is>
      </c>
      <c r="I22" s="13" t="inlineStr"/>
    </row>
    <row r="23">
      <c r="A23" s="12" t="inlineStr">
        <is>
          <t>STF-04</t>
        </is>
      </c>
      <c r="B23" s="13" t="inlineStr">
        <is>
          <t>Staff Access</t>
        </is>
      </c>
      <c r="C23" s="13" t="inlineStr">
        <is>
          <t>Tier 3 (Shared Core)</t>
        </is>
      </c>
      <c r="D23" s="13" t="inlineStr">
        <is>
          <t>Staff Access</t>
        </is>
      </c>
      <c r="E23" s="13" t="inlineStr">
        <is>
          <t>Owner / Admin</t>
        </is>
      </c>
      <c r="F23" s="13" t="inlineStr">
        <is>
          <t>Staff Role Dropdown Modification</t>
        </is>
      </c>
      <c r="G23" s="13" t="inlineStr">
        <is>
          <t>Updates role in database (e.g. Assistant -&gt; SA) with success toast</t>
        </is>
      </c>
      <c r="H23" s="14" t="inlineStr">
        <is>
          <t>Pending</t>
        </is>
      </c>
      <c r="I23" s="13" t="inlineStr"/>
    </row>
    <row r="24">
      <c r="A24" s="12" t="inlineStr">
        <is>
          <t>STF-05</t>
        </is>
      </c>
      <c r="B24" s="13" t="inlineStr">
        <is>
          <t>Staff Access</t>
        </is>
      </c>
      <c r="C24" s="13" t="inlineStr">
        <is>
          <t>Tier 3 (Shared Core)</t>
        </is>
      </c>
      <c r="D24" s="13" t="inlineStr">
        <is>
          <t>Staff Access</t>
        </is>
      </c>
      <c r="E24" s="13" t="inlineStr">
        <is>
          <t>Owner / Admin</t>
        </is>
      </c>
      <c r="F24" s="13" t="inlineStr">
        <is>
          <t>Suspend / Activate Account Toggle</t>
        </is>
      </c>
      <c r="G24" s="13" t="inlineStr">
        <is>
          <t>Toggles active state (Active / Suspended) without page reload</t>
        </is>
      </c>
      <c r="H24" s="14" t="inlineStr">
        <is>
          <t>Pending</t>
        </is>
      </c>
      <c r="I24" s="13" t="inlineStr"/>
    </row>
    <row r="25">
      <c r="A25" s="12" t="inlineStr">
        <is>
          <t>STF-06</t>
        </is>
      </c>
      <c r="B25" s="13" t="inlineStr">
        <is>
          <t>Staff Access</t>
        </is>
      </c>
      <c r="C25" s="13" t="inlineStr">
        <is>
          <t>Tier 2 (Single-Role)</t>
        </is>
      </c>
      <c r="D25" s="13" t="inlineStr">
        <is>
          <t>Staff Access</t>
        </is>
      </c>
      <c r="E25" s="13" t="inlineStr">
        <is>
          <t>Owner / Admin</t>
        </is>
      </c>
      <c r="F25" s="13" t="inlineStr">
        <is>
          <t>Primary Administrator Security Shield</t>
        </is>
      </c>
      <c r="G25" s="13" t="inlineStr">
        <is>
          <t>Owner account is marked "Secured / Sys Owner" and cannot be suspended</t>
        </is>
      </c>
      <c r="H25" s="14" t="inlineStr">
        <is>
          <t>Pending</t>
        </is>
      </c>
      <c r="I25" s="13" t="inlineStr"/>
    </row>
    <row r="26">
      <c r="A26" s="12" t="inlineStr">
        <is>
          <t>STF-07</t>
        </is>
      </c>
      <c r="B26" s="13" t="inlineStr">
        <is>
          <t>Staff Access</t>
        </is>
      </c>
      <c r="C26" s="13" t="inlineStr">
        <is>
          <t>Tier 2 (Single-Role)</t>
        </is>
      </c>
      <c r="D26" s="13" t="inlineStr">
        <is>
          <t>Staff Access</t>
        </is>
      </c>
      <c r="E26" s="13" t="inlineStr">
        <is>
          <t>Owner / Admin</t>
        </is>
      </c>
      <c r="F26" s="13" t="inlineStr">
        <is>
          <t>Staff Direct Password Reset Modal</t>
        </is>
      </c>
      <c r="G26" s="13" t="inlineStr">
        <is>
          <t>Allows Admin/Owner to manually reset forgotten password for any staff</t>
        </is>
      </c>
      <c r="H26" s="14" t="inlineStr">
        <is>
          <t>Pending</t>
        </is>
      </c>
      <c r="I26" s="13" t="inlineStr"/>
    </row>
    <row r="27">
      <c r="A27" s="12" t="inlineStr">
        <is>
          <t>STF-08</t>
        </is>
      </c>
      <c r="B27" s="13" t="inlineStr">
        <is>
          <t>Staff Access</t>
        </is>
      </c>
      <c r="C27" s="13" t="inlineStr">
        <is>
          <t>Tier 2 (Single-Role)</t>
        </is>
      </c>
      <c r="D27" s="13" t="inlineStr">
        <is>
          <t>Staff Access</t>
        </is>
      </c>
      <c r="E27" s="13" t="inlineStr">
        <is>
          <t>Owner / Admin</t>
        </is>
      </c>
      <c r="F27" s="13" t="inlineStr">
        <is>
          <t>Branch Register Tab &amp; List Management</t>
        </is>
      </c>
      <c r="G27" s="13" t="inlineStr">
        <is>
          <t>Displays branch codes and allows creating new workshop branch</t>
        </is>
      </c>
      <c r="H27" s="14" t="inlineStr">
        <is>
          <t>Pending</t>
        </is>
      </c>
      <c r="I27" s="13" t="inlineStr"/>
    </row>
    <row r="28">
      <c r="A28" s="12" t="inlineStr">
        <is>
          <t>STF-09</t>
        </is>
      </c>
      <c r="B28" s="13" t="inlineStr">
        <is>
          <t>Staff Access</t>
        </is>
      </c>
      <c r="C28" s="13" t="inlineStr">
        <is>
          <t>Tier 2 (Single-Role)</t>
        </is>
      </c>
      <c r="D28" s="13" t="inlineStr">
        <is>
          <t>Staff Access</t>
        </is>
      </c>
      <c r="E28" s="13" t="inlineStr">
        <is>
          <t>Owner / Admin</t>
        </is>
      </c>
      <c r="F28" s="13" t="inlineStr">
        <is>
          <t>Branch Soft-Delete &amp; Restore Flow</t>
        </is>
      </c>
      <c r="G28" s="13" t="inlineStr">
        <is>
          <t>Allows soft-deleting and restoring branches with confirmation</t>
        </is>
      </c>
      <c r="H28" s="14" t="inlineStr">
        <is>
          <t>Pending</t>
        </is>
      </c>
      <c r="I28" s="13" t="inlineStr"/>
    </row>
    <row r="29">
      <c r="A29" s="12" t="inlineStr">
        <is>
          <t>SA-01</t>
        </is>
      </c>
      <c r="B29" s="13" t="inlineStr">
        <is>
          <t>Service Advisor</t>
        </is>
      </c>
      <c r="C29" s="13" t="inlineStr">
        <is>
          <t>Tier 2 (Single-Role)</t>
        </is>
      </c>
      <c r="D29" s="13" t="inlineStr">
        <is>
          <t>Service Advisor</t>
        </is>
      </c>
      <c r="E29" s="13" t="inlineStr">
        <is>
          <t>Service Advisor</t>
        </is>
      </c>
      <c r="F29" s="13" t="inlineStr">
        <is>
          <t>Walk-In Intake Form Rendering</t>
        </is>
      </c>
      <c r="G29" s="13" t="inlineStr">
        <is>
          <t>Displays customer name, plate, contact, vehicle, category dropdowns</t>
        </is>
      </c>
      <c r="H29" s="14" t="inlineStr">
        <is>
          <t>Pending</t>
        </is>
      </c>
      <c r="I29" s="13" t="inlineStr"/>
    </row>
    <row r="30">
      <c r="A30" s="12" t="inlineStr">
        <is>
          <t>SA-02</t>
        </is>
      </c>
      <c r="B30" s="13" t="inlineStr">
        <is>
          <t>Service Advisor</t>
        </is>
      </c>
      <c r="C30" s="13" t="inlineStr">
        <is>
          <t>Tier 2 (Single-Role)</t>
        </is>
      </c>
      <c r="D30" s="13" t="inlineStr">
        <is>
          <t>Service Advisor</t>
        </is>
      </c>
      <c r="E30" s="13" t="inlineStr">
        <is>
          <t>Service Advisor</t>
        </is>
      </c>
      <c r="F30" s="13" t="inlineStr">
        <is>
          <t>Auto-Generated Claim Stub Preview</t>
        </is>
      </c>
      <c r="G30" s="13" t="inlineStr">
        <is>
          <t>Generates unique date-relative stub (e.g. MMDDYY-001) in real-time</t>
        </is>
      </c>
      <c r="H30" s="14" t="inlineStr">
        <is>
          <t>Pending</t>
        </is>
      </c>
      <c r="I30" s="13" t="inlineStr"/>
    </row>
    <row r="31">
      <c r="A31" s="12" t="inlineStr">
        <is>
          <t>SA-03</t>
        </is>
      </c>
      <c r="B31" s="13" t="inlineStr">
        <is>
          <t>Service Advisor</t>
        </is>
      </c>
      <c r="C31" s="13" t="inlineStr">
        <is>
          <t>Tier 3 (Shared Core)</t>
        </is>
      </c>
      <c r="D31" s="13" t="inlineStr">
        <is>
          <t>Service Advisor</t>
        </is>
      </c>
      <c r="E31" s="13" t="inlineStr">
        <is>
          <t>Service Advisor</t>
        </is>
      </c>
      <c r="F31" s="13" t="inlineStr">
        <is>
          <t>Submit Walk-In Intake Paperwork</t>
        </is>
      </c>
      <c r="G31" s="13" t="inlineStr">
        <is>
          <t>Encodes job to database and routes vehicle to Daily Intakes queue</t>
        </is>
      </c>
      <c r="H31" s="14" t="inlineStr">
        <is>
          <t>Pending</t>
        </is>
      </c>
      <c r="I31" s="13" t="inlineStr"/>
    </row>
    <row r="32">
      <c r="A32" s="12" t="inlineStr">
        <is>
          <t>SA-04</t>
        </is>
      </c>
      <c r="B32" s="13" t="inlineStr">
        <is>
          <t>Service Advisor</t>
        </is>
      </c>
      <c r="C32" s="13" t="inlineStr">
        <is>
          <t>Tier 1 (Visual/Cosmetic)</t>
        </is>
      </c>
      <c r="D32" s="13" t="inlineStr">
        <is>
          <t>Service Advisor</t>
        </is>
      </c>
      <c r="E32" s="13" t="inlineStr">
        <is>
          <t>Service Advisor</t>
        </is>
      </c>
      <c r="F32" s="13" t="inlineStr">
        <is>
          <t>Custom Category Specification ("Others")</t>
        </is>
      </c>
      <c r="G32" s="13" t="inlineStr">
        <is>
          <t>Selecting "Others" exposes text input to enter custom service category</t>
        </is>
      </c>
      <c r="H32" s="14" t="inlineStr">
        <is>
          <t>Pending</t>
        </is>
      </c>
      <c r="I32" s="13" t="inlineStr"/>
    </row>
    <row r="33">
      <c r="A33" s="12" t="inlineStr">
        <is>
          <t>SA-05</t>
        </is>
      </c>
      <c r="B33" s="13" t="inlineStr">
        <is>
          <t>Service Advisor</t>
        </is>
      </c>
      <c r="C33" s="13" t="inlineStr">
        <is>
          <t>Tier 3 (Shared Core)</t>
        </is>
      </c>
      <c r="D33" s="13" t="inlineStr">
        <is>
          <t>Service Advisor</t>
        </is>
      </c>
      <c r="E33" s="13" t="inlineStr">
        <is>
          <t>Service Advisor</t>
        </is>
      </c>
      <c r="F33" s="13" t="inlineStr">
        <is>
          <t>Daily Intakes Table Status Switch</t>
        </is>
      </c>
      <c r="G33" s="13" t="inlineStr">
        <is>
          <t>Selecting "Ready to Release" updates row and turns badge green</t>
        </is>
      </c>
      <c r="H33" s="14" t="inlineStr">
        <is>
          <t>Pending</t>
        </is>
      </c>
      <c r="I33" s="13" t="inlineStr"/>
    </row>
    <row r="34">
      <c r="A34" s="12" t="inlineStr">
        <is>
          <t>SA-06</t>
        </is>
      </c>
      <c r="B34" s="13" t="inlineStr">
        <is>
          <t>Service Advisor</t>
        </is>
      </c>
      <c r="C34" s="13" t="inlineStr">
        <is>
          <t>Tier 3 (Shared Core)</t>
        </is>
      </c>
      <c r="D34" s="13" t="inlineStr">
        <is>
          <t>Service Advisor</t>
        </is>
      </c>
      <c r="E34" s="13" t="inlineStr">
        <is>
          <t>Service Advisor</t>
        </is>
      </c>
      <c r="F34" s="13" t="inlineStr">
        <is>
          <t>Workshop Bay Lift Allocation (Lift 1 to 4)</t>
        </is>
      </c>
      <c r="G34" s="13" t="inlineStr">
        <is>
          <t>Assigning Lift marks lift occupied for other cars with license plate</t>
        </is>
      </c>
      <c r="H34" s="14" t="inlineStr">
        <is>
          <t>Pending</t>
        </is>
      </c>
      <c r="I34" s="13" t="inlineStr"/>
    </row>
    <row r="35">
      <c r="A35" s="12" t="inlineStr">
        <is>
          <t>SA-07</t>
        </is>
      </c>
      <c r="B35" s="13" t="inlineStr">
        <is>
          <t>Service Advisor</t>
        </is>
      </c>
      <c r="C35" s="13" t="inlineStr">
        <is>
          <t>Tier 2 (Single-Role)</t>
        </is>
      </c>
      <c r="D35" s="13" t="inlineStr">
        <is>
          <t>Service Advisor</t>
        </is>
      </c>
      <c r="E35" s="13" t="inlineStr">
        <is>
          <t>Service Advisor</t>
        </is>
      </c>
      <c r="F35" s="13" t="inlineStr">
        <is>
          <t>In-Line Service Category &amp; Lane Adjustment</t>
        </is>
      </c>
      <c r="G35" s="13" t="inlineStr">
        <is>
          <t>SA can change category (PMS/GRS) and lane directly from the table row</t>
        </is>
      </c>
      <c r="H35" s="14" t="inlineStr">
        <is>
          <t>Pending</t>
        </is>
      </c>
      <c r="I35" s="13" t="inlineStr"/>
    </row>
    <row r="36">
      <c r="A36" s="12" t="inlineStr">
        <is>
          <t>SA-08</t>
        </is>
      </c>
      <c r="B36" s="13" t="inlineStr">
        <is>
          <t>Service Advisor</t>
        </is>
      </c>
      <c r="C36" s="13" t="inlineStr">
        <is>
          <t>Tier 2 (Single-Role)</t>
        </is>
      </c>
      <c r="D36" s="13" t="inlineStr">
        <is>
          <t>Service Advisor</t>
        </is>
      </c>
      <c r="E36" s="13" t="inlineStr">
        <is>
          <t>Service Advisor</t>
        </is>
      </c>
      <c r="F36" s="13" t="inlineStr">
        <is>
          <t>Evaluation &amp; Diagnosis In-Line Edit</t>
        </is>
      </c>
      <c r="G36" s="13" t="inlineStr">
        <is>
          <t>Editing diagnosis text updates MySQL record on blur/change</t>
        </is>
      </c>
      <c r="H36" s="14" t="inlineStr">
        <is>
          <t>Pending</t>
        </is>
      </c>
      <c r="I36" s="13" t="inlineStr"/>
    </row>
    <row r="37">
      <c r="A37" s="12" t="inlineStr">
        <is>
          <t>SA-09</t>
        </is>
      </c>
      <c r="B37" s="13" t="inlineStr">
        <is>
          <t>Service Advisor</t>
        </is>
      </c>
      <c r="C37" s="13" t="inlineStr">
        <is>
          <t>Tier 3 (Shared Core)</t>
        </is>
      </c>
      <c r="D37" s="13" t="inlineStr">
        <is>
          <t>Service Advisor</t>
        </is>
      </c>
      <c r="E37" s="13" t="inlineStr">
        <is>
          <t>Service Advisor</t>
        </is>
      </c>
      <c r="F37" s="13" t="inlineStr">
        <is>
          <t>Send Vehicle to Carry-Over Queue</t>
        </is>
      </c>
      <c r="G37" s="13" t="inlineStr">
        <is>
          <t>Selecting Carry-Over opens modal to capture promised date &amp; reason</t>
        </is>
      </c>
      <c r="H37" s="14" t="inlineStr">
        <is>
          <t>Pending</t>
        </is>
      </c>
      <c r="I37" s="13" t="inlineStr"/>
    </row>
    <row r="38">
      <c r="A38" s="12" t="inlineStr">
        <is>
          <t>SA-10</t>
        </is>
      </c>
      <c r="B38" s="13" t="inlineStr">
        <is>
          <t>Service Advisor</t>
        </is>
      </c>
      <c r="C38" s="13" t="inlineStr">
        <is>
          <t>Tier 3 (Shared Core)</t>
        </is>
      </c>
      <c r="D38" s="13" t="inlineStr">
        <is>
          <t>Service Advisor</t>
        </is>
      </c>
      <c r="E38" s="13" t="inlineStr">
        <is>
          <t>Service Advisor</t>
        </is>
      </c>
      <c r="F38" s="13" t="inlineStr">
        <is>
          <t>Carry-Over Board "Return Active" Action</t>
        </is>
      </c>
      <c r="G38" s="13" t="inlineStr">
        <is>
          <t>Returns carry-over car to active queue with updated arrival timestamp</t>
        </is>
      </c>
      <c r="H38" s="14" t="inlineStr">
        <is>
          <t>Pending</t>
        </is>
      </c>
      <c r="I38" s="13" t="inlineStr"/>
    </row>
    <row r="39">
      <c r="A39" s="12" t="inlineStr">
        <is>
          <t>SA-11</t>
        </is>
      </c>
      <c r="B39" s="13" t="inlineStr">
        <is>
          <t>Service Advisor</t>
        </is>
      </c>
      <c r="C39" s="13" t="inlineStr">
        <is>
          <t>Tier 3 (Shared Core)</t>
        </is>
      </c>
      <c r="D39" s="13" t="inlineStr">
        <is>
          <t>Service Advisor</t>
        </is>
      </c>
      <c r="E39" s="13" t="inlineStr">
        <is>
          <t>Service Advisor</t>
        </is>
      </c>
      <c r="F39" s="13" t="inlineStr">
        <is>
          <t>Carry-Over "Complete Release" Action</t>
        </is>
      </c>
      <c r="G39" s="13" t="inlineStr">
        <is>
          <t>Finalizes vehicle release and moves record to completed archive</t>
        </is>
      </c>
      <c r="H39" s="14" t="inlineStr">
        <is>
          <t>Pending</t>
        </is>
      </c>
      <c r="I39" s="13" t="inlineStr"/>
    </row>
    <row r="40">
      <c r="A40" s="12" t="inlineStr">
        <is>
          <t>AST-01</t>
        </is>
      </c>
      <c r="B40" s="13" t="inlineStr">
        <is>
          <t>Assistant Staff</t>
        </is>
      </c>
      <c r="C40" s="13" t="inlineStr">
        <is>
          <t>Tier 2 (Single-Role)</t>
        </is>
      </c>
      <c r="D40" s="13" t="inlineStr">
        <is>
          <t>Assistant Staff</t>
        </is>
      </c>
      <c r="E40" s="13" t="inlineStr">
        <is>
          <t>Assistant Staff</t>
        </is>
      </c>
      <c r="F40" s="13" t="inlineStr">
        <is>
          <t>Online Booking Form Submission</t>
        </is>
      </c>
      <c r="G40" s="13" t="inlineStr">
        <is>
          <t>Encodes online inquiry with appointment date/time to Booking Module</t>
        </is>
      </c>
      <c r="H40" s="14" t="inlineStr">
        <is>
          <t>Pending</t>
        </is>
      </c>
      <c r="I40" s="13" t="inlineStr"/>
    </row>
    <row r="41">
      <c r="A41" s="12" t="inlineStr">
        <is>
          <t>AST-02</t>
        </is>
      </c>
      <c r="B41" s="13" t="inlineStr">
        <is>
          <t>Assistant Staff</t>
        </is>
      </c>
      <c r="C41" s="13" t="inlineStr">
        <is>
          <t>Tier 3 (Shared Core)</t>
        </is>
      </c>
      <c r="D41" s="13" t="inlineStr">
        <is>
          <t>Assistant Staff</t>
        </is>
      </c>
      <c r="E41" s="13" t="inlineStr">
        <is>
          <t>Assistant Staff</t>
        </is>
      </c>
      <c r="F41" s="13" t="inlineStr">
        <is>
          <t>Booking Module Queue (Pending Express Table)</t>
        </is>
      </c>
      <c r="G41" s="13" t="inlineStr">
        <is>
          <t>Displays pending online inquiries with plate, name, and lane type</t>
        </is>
      </c>
      <c r="H41" s="14" t="inlineStr">
        <is>
          <t>Pending</t>
        </is>
      </c>
      <c r="I41" s="13" t="inlineStr"/>
    </row>
    <row r="42">
      <c r="A42" s="12" t="inlineStr">
        <is>
          <t>AST-03</t>
        </is>
      </c>
      <c r="B42" s="13" t="inlineStr">
        <is>
          <t>Assistant Staff</t>
        </is>
      </c>
      <c r="C42" s="13" t="inlineStr">
        <is>
          <t>Tier 2 (Single-Role)</t>
        </is>
      </c>
      <c r="D42" s="13" t="inlineStr">
        <is>
          <t>Assistant Staff</t>
        </is>
      </c>
      <c r="E42" s="13" t="inlineStr">
        <is>
          <t>Assistant Staff</t>
        </is>
      </c>
      <c r="F42" s="13" t="inlineStr">
        <is>
          <t>In-Line Booking Lane Type Selection</t>
        </is>
      </c>
      <c r="G42" s="13" t="inlineStr">
        <is>
          <t>Allows modifying lane type (Flexible, Express, PMS, GRS, Special)</t>
        </is>
      </c>
      <c r="H42" s="14" t="inlineStr">
        <is>
          <t>Pending</t>
        </is>
      </c>
      <c r="I42" s="13" t="inlineStr"/>
    </row>
    <row r="43">
      <c r="A43" s="12" t="inlineStr">
        <is>
          <t>AST-04</t>
        </is>
      </c>
      <c r="B43" s="13" t="inlineStr">
        <is>
          <t>Assistant Staff</t>
        </is>
      </c>
      <c r="C43" s="13" t="inlineStr">
        <is>
          <t>Tier 2 (Single-Role)</t>
        </is>
      </c>
      <c r="D43" s="13" t="inlineStr">
        <is>
          <t>Assistant Staff</t>
        </is>
      </c>
      <c r="E43" s="13" t="inlineStr">
        <is>
          <t>Assistant Staff</t>
        </is>
      </c>
      <c r="F43" s="13" t="inlineStr">
        <is>
          <t>In-Line Appointment Date &amp; Time Edit</t>
        </is>
      </c>
      <c r="G43" s="13" t="inlineStr">
        <is>
          <t>Assistant can adjust customer appointment date/time directly in row</t>
        </is>
      </c>
      <c r="H43" s="14" t="inlineStr">
        <is>
          <t>Pending</t>
        </is>
      </c>
      <c r="I43" s="13" t="inlineStr"/>
    </row>
    <row r="44">
      <c r="A44" s="12" t="inlineStr">
        <is>
          <t>AST-05</t>
        </is>
      </c>
      <c r="B44" s="13" t="inlineStr">
        <is>
          <t>Assistant Staff</t>
        </is>
      </c>
      <c r="C44" s="13" t="inlineStr">
        <is>
          <t>Tier 3 (Shared Core)</t>
        </is>
      </c>
      <c r="D44" s="13" t="inlineStr">
        <is>
          <t>Assistant Staff</t>
        </is>
      </c>
      <c r="E44" s="13" t="inlineStr">
        <is>
          <t>Assistant Staff</t>
        </is>
      </c>
      <c r="F44" s="13" t="inlineStr">
        <is>
          <t>Confirm Active Action Flow</t>
        </is>
      </c>
      <c r="G44" s="13" t="inlineStr">
        <is>
          <t>Converts booking to active workshop intake with arrival timestamp</t>
        </is>
      </c>
      <c r="H44" s="14" t="inlineStr">
        <is>
          <t>Pending</t>
        </is>
      </c>
      <c r="I44" s="13" t="inlineStr"/>
    </row>
    <row r="45">
      <c r="A45" s="12" t="inlineStr">
        <is>
          <t>AST-06</t>
        </is>
      </c>
      <c r="B45" s="13" t="inlineStr">
        <is>
          <t>Assistant Staff</t>
        </is>
      </c>
      <c r="C45" s="13" t="inlineStr">
        <is>
          <t>Tier 2 (Single-Role)</t>
        </is>
      </c>
      <c r="D45" s="13" t="inlineStr">
        <is>
          <t>Assistant Staff</t>
        </is>
      </c>
      <c r="E45" s="13" t="inlineStr">
        <is>
          <t>Assistant Staff</t>
        </is>
      </c>
      <c r="F45" s="13" t="inlineStr">
        <is>
          <t>Delete Booking Inactive Modal</t>
        </is>
      </c>
      <c r="G45" s="13" t="inlineStr">
        <is>
          <t>Prompts clean confirmation dialog before removing online entry</t>
        </is>
      </c>
      <c r="H45" s="14" t="inlineStr">
        <is>
          <t>Pending</t>
        </is>
      </c>
      <c r="I45" s="13" t="inlineStr"/>
    </row>
    <row r="46">
      <c r="A46" s="12" t="inlineStr">
        <is>
          <t>AST-07</t>
        </is>
      </c>
      <c r="B46" s="13" t="inlineStr">
        <is>
          <t>Assistant Staff</t>
        </is>
      </c>
      <c r="C46" s="13" t="inlineStr">
        <is>
          <t>Tier 1 (Visual/Cosmetic)</t>
        </is>
      </c>
      <c r="D46" s="13" t="inlineStr">
        <is>
          <t>Assistant Staff</t>
        </is>
      </c>
      <c r="E46" s="13" t="inlineStr">
        <is>
          <t>Assistant Staff</t>
        </is>
      </c>
      <c r="F46" s="13" t="inlineStr">
        <is>
          <t>SLA Goal Indicator (2-Hour Benchmark)</t>
        </is>
      </c>
      <c r="G46" s="13" t="inlineStr">
        <is>
          <t>Shows Successful or Failed badge based on duration vs SLA target</t>
        </is>
      </c>
      <c r="H46" s="14" t="inlineStr">
        <is>
          <t>Pending</t>
        </is>
      </c>
      <c r="I46" s="13" t="inlineStr"/>
    </row>
    <row r="47">
      <c r="A47" s="12" t="inlineStr">
        <is>
          <t>TV-01</t>
        </is>
      </c>
      <c r="B47" s="13" t="inlineStr">
        <is>
          <t>TV Monitor</t>
        </is>
      </c>
      <c r="C47" s="13" t="inlineStr">
        <is>
          <t>Tier 2 (Single-Role)</t>
        </is>
      </c>
      <c r="D47" s="13" t="inlineStr">
        <is>
          <t>TV Display</t>
        </is>
      </c>
      <c r="E47" s="13" t="inlineStr">
        <is>
          <t>TV / Error</t>
        </is>
      </c>
      <c r="F47" s="13" t="inlineStr">
        <is>
          <t>Live TV Display 3-Slide Carousel Rotation</t>
        </is>
      </c>
      <c r="G47" s="13" t="inlineStr">
        <is>
          <t>Rotates between Slide 1 (Active Lifts), Slide 2 (Ready), Slide 3 (Lanes)</t>
        </is>
      </c>
      <c r="H47" s="14" t="inlineStr">
        <is>
          <t>Pending</t>
        </is>
      </c>
      <c r="I47" s="13" t="inlineStr"/>
    </row>
    <row r="48">
      <c r="A48" s="12" t="inlineStr">
        <is>
          <t>TV-02</t>
        </is>
      </c>
      <c r="B48" s="13" t="inlineStr">
        <is>
          <t>TV Monitor</t>
        </is>
      </c>
      <c r="C48" s="13" t="inlineStr">
        <is>
          <t>Tier 1 (Visual/Cosmetic)</t>
        </is>
      </c>
      <c r="D48" s="13" t="inlineStr">
        <is>
          <t>TV Display</t>
        </is>
      </c>
      <c r="E48" s="13" t="inlineStr">
        <is>
          <t>TV / Error</t>
        </is>
      </c>
      <c r="F48" s="13" t="inlineStr">
        <is>
          <t>15-Second Slide Interval Rotation</t>
        </is>
      </c>
      <c r="G48" s="13" t="inlineStr">
        <is>
          <t>Slides transition smoothly without blocking browser memory or freezing</t>
        </is>
      </c>
      <c r="H48" s="14" t="inlineStr">
        <is>
          <t>Pending</t>
        </is>
      </c>
      <c r="I48" s="13" t="inlineStr"/>
    </row>
    <row r="49">
      <c r="A49" s="12" t="inlineStr">
        <is>
          <t>TV-03</t>
        </is>
      </c>
      <c r="B49" s="13" t="inlineStr">
        <is>
          <t>TV Monitor</t>
        </is>
      </c>
      <c r="C49" s="13" t="inlineStr">
        <is>
          <t>Tier 1 (Visual/Cosmetic)</t>
        </is>
      </c>
      <c r="D49" s="13" t="inlineStr">
        <is>
          <t>TV Display</t>
        </is>
      </c>
      <c r="E49" s="13" t="inlineStr">
        <is>
          <t>TV / Error</t>
        </is>
      </c>
      <c r="F49" s="13" t="inlineStr">
        <is>
          <t>Manual Slide Indicator Navigation</t>
        </is>
      </c>
      <c r="G49" s="13" t="inlineStr">
        <is>
          <t>Clicking slide dots navigates directly to target slide and resets timer</t>
        </is>
      </c>
      <c r="H49" s="14" t="inlineStr">
        <is>
          <t>Pending</t>
        </is>
      </c>
      <c r="I49" s="13" t="inlineStr"/>
    </row>
    <row r="50">
      <c r="A50" s="12" t="inlineStr">
        <is>
          <t>TV-04</t>
        </is>
      </c>
      <c r="B50" s="13" t="inlineStr">
        <is>
          <t>TV Monitor</t>
        </is>
      </c>
      <c r="C50" s="13" t="inlineStr">
        <is>
          <t>Tier 2 (Single-Role)</t>
        </is>
      </c>
      <c r="D50" s="13" t="inlineStr">
        <is>
          <t>TV Display</t>
        </is>
      </c>
      <c r="E50" s="13" t="inlineStr">
        <is>
          <t>TV / Error</t>
        </is>
      </c>
      <c r="F50" s="13" t="inlineStr">
        <is>
          <t>Standalone TV Mode URL Launch (?mode=tv)</t>
        </is>
      </c>
      <c r="G50" s="13" t="inlineStr">
        <is>
          <t>Loads clean fullscreen display without sidebar or top navigation bars</t>
        </is>
      </c>
      <c r="H50" s="14" t="inlineStr">
        <is>
          <t>Pending</t>
        </is>
      </c>
      <c r="I50" s="13" t="inlineStr"/>
    </row>
    <row r="51">
      <c r="A51" s="12" t="inlineStr">
        <is>
          <t>ERR-01</t>
        </is>
      </c>
      <c r="B51" s="13" t="inlineStr">
        <is>
          <t>Diagnostics</t>
        </is>
      </c>
      <c r="C51" s="13" t="inlineStr">
        <is>
          <t>Tier 3 (Shared Core)</t>
        </is>
      </c>
      <c r="D51" s="13" t="inlineStr">
        <is>
          <t>Diagnostics</t>
        </is>
      </c>
      <c r="E51" s="13" t="inlineStr">
        <is>
          <t>TV / Error</t>
        </is>
      </c>
      <c r="F51" s="13" t="inlineStr">
        <is>
          <t>Developer Exception Overlay (Crash Handler)</t>
        </is>
      </c>
      <c r="G51" s="13" t="inlineStr">
        <is>
          <t>Uncaught runtime errors trigger high-contrast diagnostics overlay</t>
        </is>
      </c>
      <c r="H51" s="14" t="inlineStr">
        <is>
          <t>Pending</t>
        </is>
      </c>
      <c r="I51" s="13" t="inlineStr"/>
    </row>
    <row r="52">
      <c r="A52" s="12" t="inlineStr">
        <is>
          <t>ERR-02</t>
        </is>
      </c>
      <c r="B52" s="13" t="inlineStr">
        <is>
          <t>Diagnostics</t>
        </is>
      </c>
      <c r="C52" s="13" t="inlineStr">
        <is>
          <t>Tier 2 (Single-Role)</t>
        </is>
      </c>
      <c r="D52" s="13" t="inlineStr">
        <is>
          <t>Diagnostics</t>
        </is>
      </c>
      <c r="E52" s="13" t="inlineStr">
        <is>
          <t>TV / Error</t>
        </is>
      </c>
      <c r="F52" s="13" t="inlineStr">
        <is>
          <t>Diagnostic Crash Log Export (.txt)</t>
        </is>
      </c>
      <c r="G52" s="13" t="inlineStr">
        <is>
          <t>Downloads detailed crash log containing stack trace and environment state</t>
        </is>
      </c>
      <c r="H52" s="14" t="inlineStr">
        <is>
          <t>Pending</t>
        </is>
      </c>
      <c r="I52" s="13" t="inlineStr"/>
    </row>
    <row r="53">
      <c r="A53" s="12" t="inlineStr">
        <is>
          <t>ERR-03</t>
        </is>
      </c>
      <c r="B53" s="13" t="inlineStr">
        <is>
          <t>Diagnostics</t>
        </is>
      </c>
      <c r="C53" s="13" t="inlineStr">
        <is>
          <t>Tier 3 (Shared Core)</t>
        </is>
      </c>
      <c r="D53" s="13" t="inlineStr">
        <is>
          <t>Diagnostics</t>
        </is>
      </c>
      <c r="E53" s="13" t="inlineStr">
        <is>
          <t>TV / Error</t>
        </is>
      </c>
      <c r="F53" s="13" t="inlineStr">
        <is>
          <t>One-Click Database Re-Seed Trigger</t>
        </is>
      </c>
      <c r="G53" s="13" t="inlineStr">
        <is>
          <t>Calls /api/auth/developer/reset-seed and prints live database reset log</t>
        </is>
      </c>
      <c r="H53" s="14" t="inlineStr">
        <is>
          <t>Pending</t>
        </is>
      </c>
      <c r="I53" s="13" t="inlineStr"/>
    </row>
    <row r="54">
      <c r="A54" s="12" t="inlineStr">
        <is>
          <t>ERR-04</t>
        </is>
      </c>
      <c r="B54" s="13" t="inlineStr">
        <is>
          <t>Diagnostics</t>
        </is>
      </c>
      <c r="C54" s="13" t="inlineStr">
        <is>
          <t>Tier 1 (Visual/Cosmetic)</t>
        </is>
      </c>
      <c r="D54" s="13" t="inlineStr">
        <is>
          <t>Diagnostics</t>
        </is>
      </c>
      <c r="E54" s="13" t="inlineStr">
        <is>
          <t>TV / Error</t>
        </is>
      </c>
      <c r="F54" s="13" t="inlineStr">
        <is>
          <t>Copy Error Trace to Clipboard</t>
        </is>
      </c>
      <c r="G54" s="13" t="inlineStr">
        <is>
          <t>Copies clean stack trace to clipboard with success toast notification</t>
        </is>
      </c>
      <c r="H54" s="14" t="inlineStr">
        <is>
          <t>Pending</t>
        </is>
      </c>
      <c r="I54" s="13" t="inlineStr"/>
    </row>
    <row r="55">
      <c r="A55" s="12" t="inlineStr">
        <is>
          <t>CLI-01</t>
        </is>
      </c>
      <c r="B55" s="13" t="inlineStr">
        <is>
          <t>Developer Tooling</t>
        </is>
      </c>
      <c r="C55" s="13" t="inlineStr">
        <is>
          <t>Tier 3 (Shared Core)</t>
        </is>
      </c>
      <c r="D55" s="13" t="inlineStr">
        <is>
          <t>Developer Tooling</t>
        </is>
      </c>
      <c r="E55" s="13" t="inlineStr">
        <is>
          <t>All Roles</t>
        </is>
      </c>
      <c r="F55" s="13" t="inlineStr">
        <is>
          <t>Terminal Server Launch (npm.cmd run dev)</t>
        </is>
      </c>
      <c r="G55" s="13" t="inlineStr">
        <is>
          <t>Starts PHP router on port 8000 and serves application cleanly</t>
        </is>
      </c>
      <c r="H55" s="14" t="inlineStr">
        <is>
          <t>Pending</t>
        </is>
      </c>
      <c r="I55" s="13" t="inlineStr"/>
    </row>
    <row r="56">
      <c r="A56" s="12" t="inlineStr">
        <is>
          <t>CLI-02</t>
        </is>
      </c>
      <c r="B56" s="13" t="inlineStr">
        <is>
          <t>Developer Tooling</t>
        </is>
      </c>
      <c r="C56" s="13" t="inlineStr">
        <is>
          <t>Tier 3 (Shared Core)</t>
        </is>
      </c>
      <c r="D56" s="13" t="inlineStr">
        <is>
          <t>Quality Assurance</t>
        </is>
      </c>
      <c r="E56" s="13" t="inlineStr">
        <is>
          <t>Developer / QA</t>
        </is>
      </c>
      <c r="F56" s="13" t="inlineStr">
        <is>
          <t>Terminal Automated Test Suite (npm.cmd test)</t>
        </is>
      </c>
      <c r="G56" s="13" t="inlineStr">
        <is>
          <t>Executes all 30 automated frontend backend and security test assertions</t>
        </is>
      </c>
      <c r="H56" s="14" t="inlineStr">
        <is>
          <t>Pending</t>
        </is>
      </c>
      <c r="I56" s="13" t="inlineStr"/>
    </row>
    <row r="57">
      <c r="A57" s="12" t="inlineStr">
        <is>
          <t>SEC-01</t>
        </is>
      </c>
      <c r="B57" s="13" t="inlineStr">
        <is>
          <t>Security &amp; RBAC</t>
        </is>
      </c>
      <c r="C57" s="13" t="inlineStr">
        <is>
          <t>Tier 3 (Shared Core)</t>
        </is>
      </c>
      <c r="D57" s="13" t="inlineStr">
        <is>
          <t>Security &amp; RBAC</t>
        </is>
      </c>
      <c r="E57" s="13" t="inlineStr">
        <is>
          <t>All Roles</t>
        </is>
      </c>
      <c r="F57" s="13" t="inlineStr">
        <is>
          <t>Backend SQL Injection Defense Guard</t>
        </is>
      </c>
      <c r="G57" s="13" t="inlineStr">
        <is>
          <t>Ensures parameterized queries block malicious SQL injection payloads</t>
        </is>
      </c>
      <c r="H57" s="14" t="inlineStr">
        <is>
          <t>Pending</t>
        </is>
      </c>
      <c r="I57" s="13" t="inlineStr"/>
    </row>
    <row r="58">
      <c r="A58" s="12" t="inlineStr">
        <is>
          <t>SEC-02</t>
        </is>
      </c>
      <c r="B58" s="13" t="inlineStr">
        <is>
          <t>Security &amp; RBAC</t>
        </is>
      </c>
      <c r="C58" s="13" t="inlineStr">
        <is>
          <t>Tier 3 (Shared Core)</t>
        </is>
      </c>
      <c r="D58" s="13" t="inlineStr">
        <is>
          <t>Security &amp; RBAC</t>
        </is>
      </c>
      <c r="E58" s="13" t="inlineStr">
        <is>
          <t>Assistant &amp; SA</t>
        </is>
      </c>
      <c r="F58" s="13" t="inlineStr">
        <is>
          <t>Unauthorized Route Protection (401/403)</t>
        </is>
      </c>
      <c r="G58" s="13" t="inlineStr">
        <is>
          <t>Blocks Assistant from admin endpoints and unauthenticated requests</t>
        </is>
      </c>
      <c r="H58" s="14" t="inlineStr">
        <is>
          <t>Pending</t>
        </is>
      </c>
      <c r="I58" s="13" t="inlineStr"/>
    </row>
    <row r="59">
      <c r="A59" s="12" t="inlineStr">
        <is>
          <t>SA-STU-01</t>
        </is>
      </c>
      <c r="B59" s="13" t="inlineStr">
        <is>
          <t>SA 2025 RO Studio</t>
        </is>
      </c>
      <c r="C59" s="13" t="inlineStr">
        <is>
          <t>Tier 3 (Shared Core)</t>
        </is>
      </c>
      <c r="D59" s="13" t="inlineStr">
        <is>
          <t>Service Advisor</t>
        </is>
      </c>
      <c r="E59" s="13" t="inlineStr">
        <is>
          <t>Service Advisor</t>
        </is>
      </c>
      <c r="F59" s="13" t="inlineStr">
        <is>
          <t>2025 RO Excel Studio 4-Sheet Tab Streamlining</t>
        </is>
      </c>
      <c r="G59" s="13" t="inlineStr">
        <is>
          <t>Displays strictly 4 SA worksheets (Job_Order Quotation_No Billing_No CheckList_Result) and zero non-SA tabs</t>
        </is>
      </c>
      <c r="H59" s="14" t="inlineStr">
        <is>
          <t>Pending</t>
        </is>
      </c>
      <c r="I59" s="13" t="inlineStr"/>
    </row>
    <row r="60">
      <c r="A60" s="12" t="inlineStr">
        <is>
          <t>SA-STU-02</t>
        </is>
      </c>
      <c r="B60" s="13" t="inlineStr">
        <is>
          <t>SA 2025 RO Studio</t>
        </is>
      </c>
      <c r="C60" s="13" t="inlineStr">
        <is>
          <t>Tier 2 (Single-Role)</t>
        </is>
      </c>
      <c r="D60" s="13" t="inlineStr">
        <is>
          <t>Service Advisor</t>
        </is>
      </c>
      <c r="E60" s="13" t="inlineStr">
        <is>
          <t>Service Advisor</t>
        </is>
      </c>
      <c r="F60" s="13" t="inlineStr">
        <is>
          <t>Reactive Cross-Sheet Dossier Synchronization</t>
        </is>
      </c>
      <c r="G60" s="13" t="inlineStr">
        <is>
          <t>Typing vehicle/customer info on any sheet live-synchronizes to all 4 worksheets and updates canvas preview</t>
        </is>
      </c>
      <c r="H60" s="14" t="inlineStr">
        <is>
          <t>Pending</t>
        </is>
      </c>
      <c r="I60" s="13" t="inlineStr"/>
    </row>
    <row r="61">
      <c r="A61" s="12" t="inlineStr">
        <is>
          <t>SA-STU-03</t>
        </is>
      </c>
      <c r="B61" s="13" t="inlineStr">
        <is>
          <t>SA 2025 RO Studio</t>
        </is>
      </c>
      <c r="C61" s="13" t="inlineStr">
        <is>
          <t>Tier 3 (Shared Core)</t>
        </is>
      </c>
      <c r="D61" s="13" t="inlineStr">
        <is>
          <t>Service Advisor</t>
        </is>
      </c>
      <c r="E61" s="13" t="inlineStr">
        <is>
          <t>Service Advisor</t>
        </is>
      </c>
      <c r="F61" s="13" t="inlineStr">
        <is>
          <t>1:1 Lossless Styled Official XLSX Export</t>
        </is>
      </c>
      <c r="G61" s="13" t="inlineStr">
        <is>
          <t>Export .xlsx injects typed values into sheets 1-4 while cleanly hiding sheets 5-10 in Excel</t>
        </is>
      </c>
      <c r="H61" s="14" t="inlineStr">
        <is>
          <t>Pending</t>
        </is>
      </c>
      <c r="I61" s="13" t="inlineStr"/>
    </row>
    <row r="62">
      <c r="A62" s="12" t="inlineStr">
        <is>
          <t>TV-05</t>
        </is>
      </c>
      <c r="B62" s="13" t="inlineStr">
        <is>
          <t>TV Monitor</t>
        </is>
      </c>
      <c r="C62" s="13" t="inlineStr">
        <is>
          <t>Tier 3 (Shared Core)</t>
        </is>
      </c>
      <c r="D62" s="13" t="inlineStr">
        <is>
          <t>All Roles</t>
        </is>
      </c>
      <c r="E62" s="13" t="inlineStr">
        <is>
          <t>All Roles</t>
        </is>
      </c>
      <c r="F62" s="13" t="inlineStr">
        <is>
          <t>TV Monitor Hub Modal Launch</t>
        </is>
      </c>
      <c r="G62" s="13" t="inlineStr">
        <is>
          <t>Clicking TV Monitor in top navbar or sidebar opens modal-tv-broadcast-hub naturally with Wireless Smart TV and HDMI options</t>
        </is>
      </c>
      <c r="H62" s="14" t="inlineStr">
        <is>
          <t>Pending</t>
        </is>
      </c>
      <c r="I62" s="13" t="inlineStr"/>
    </row>
    <row r="63">
      <c r="A63" s="12" t="inlineStr">
        <is>
          <t>SA-STU-04</t>
        </is>
      </c>
      <c r="B63" s="13" t="inlineStr">
        <is>
          <t>SA 2025 RO Studio</t>
        </is>
      </c>
      <c r="C63" s="13" t="inlineStr">
        <is>
          <t>Tier 2 (Single-Role)</t>
        </is>
      </c>
      <c r="D63" s="13" t="inlineStr">
        <is>
          <t>Service Advisor</t>
        </is>
      </c>
      <c r="E63" s="13" t="inlineStr">
        <is>
          <t>Service Advisor</t>
        </is>
      </c>
      <c r="F63" s="13" t="inlineStr">
        <is>
          <t>Top Sticky Tab Bar (4 Core SA Sheets)</t>
        </is>
      </c>
      <c r="G63" s="13" t="inlineStr">
        <is>
          <t>Sticky top tab bar displays Job_Order Quotation_No Billing_No CheckList_Result at head of studio with Google Sheets carets and active blue styling</t>
        </is>
      </c>
      <c r="H63" s="14" t="inlineStr">
        <is>
          <t>Pending</t>
        </is>
      </c>
      <c r="I63" s="13" t="inlineStr"/>
    </row>
    <row r="64">
      <c r="A64" s="12" t="inlineStr">
        <is>
          <t>SA-STU-05</t>
        </is>
      </c>
      <c r="B64" s="13" t="inlineStr">
        <is>
          <t>SA 2025 RO Studio</t>
        </is>
      </c>
      <c r="C64" s="13" t="inlineStr">
        <is>
          <t>Tier 3 (Shared Core)</t>
        </is>
      </c>
      <c r="D64" s="13" t="inlineStr">
        <is>
          <t>Service Advisor</t>
        </is>
      </c>
      <c r="E64" s="13" t="inlineStr">
        <is>
          <t>Service Advisor</t>
        </is>
      </c>
      <c r="F64" s="13" t="inlineStr">
        <is>
          <t>Current_2025 Template 1-Click Multi-Sheet Export</t>
        </is>
      </c>
      <c r="G64" s="13" t="inlineStr">
        <is>
          <t>Export official .xlsx auto-injects Job Order Quotation Billing and Checklist data into Current_2025 BLANK RO UPDATED sheets 1-7</t>
        </is>
      </c>
      <c r="H64" s="14" t="inlineStr">
        <is>
          <t>Pending</t>
        </is>
      </c>
      <c r="I64" s="13" t="inlineStr"/>
    </row>
    <row r="65">
      <c r="A65" s="12" t="inlineStr">
        <is>
          <t>SA-STU-06</t>
        </is>
      </c>
      <c r="B65" s="13" t="inlineStr">
        <is>
          <t>SA 2025 RO Studio</t>
        </is>
      </c>
      <c r="C65" s="13" t="inlineStr">
        <is>
          <t>Tier 2 (Single-Role)</t>
        </is>
      </c>
      <c r="D65" s="13" t="inlineStr">
        <is>
          <t>Service Advisor</t>
        </is>
      </c>
      <c r="E65" s="13" t="inlineStr">
        <is>
          <t>Service Advisor</t>
        </is>
      </c>
      <c r="F65" s="13" t="inlineStr">
        <is>
          <t>Official PDF Preview Sidebar (All 4 SA Sheets)</t>
        </is>
      </c>
      <c r="G65" s="13" t="inlineStr">
        <is>
          <t>Right preview sidebar embeds authentic PDF format viewers for Job Order Quotation Billing and Checklist with toolbar actions (Full PDF Download PDF Export .xlsx)</t>
        </is>
      </c>
      <c r="H65" s="14" t="inlineStr">
        <is>
          <t>Pending</t>
        </is>
      </c>
      <c r="I65" s="13" t="inlineStr"/>
    </row>
    <row r="66">
      <c r="A66" s="12" t="inlineStr">
        <is>
          <t>SA-STU-07</t>
        </is>
      </c>
      <c r="B66" s="13" t="inlineStr">
        <is>
          <t>SA 2025 RO Studio</t>
        </is>
      </c>
      <c r="C66" s="13" t="inlineStr">
        <is>
          <t>Tier 2 (Single-Role)</t>
        </is>
      </c>
      <c r="D66" s="13" t="inlineStr">
        <is>
          <t>Service Advisor</t>
        </is>
      </c>
      <c r="E66" s="13" t="inlineStr">
        <is>
          <t>Service Advisor</t>
        </is>
      </c>
      <c r="F66" s="13" t="inlineStr">
        <is>
          <t>Purge Keystroke HTML Canvas Overhead</t>
        </is>
      </c>
      <c r="G66" s="13" t="inlineStr">
        <is>
          <t>Removes simulated HTML keystroke tables and span re-renders ensuring zero typing lag while preserving reactive input field mirroring</t>
        </is>
      </c>
      <c r="H66" s="14" t="inlineStr">
        <is>
          <t>Pending</t>
        </is>
      </c>
      <c r="I66" s="13" t="inlineStr"/>
    </row>
    <row r="67">
      <c r="A67" s="12" t="inlineStr">
        <is>
          <t>SA-STU-08</t>
        </is>
      </c>
      <c r="B67" s="13" t="inlineStr">
        <is>
          <t>SA 2025 RO Studio</t>
        </is>
      </c>
      <c r="C67" s="13" t="inlineStr">
        <is>
          <t>Tier 3 (Shared Core)</t>
        </is>
      </c>
      <c r="D67" s="13" t="inlineStr">
        <is>
          <t>Service Advisor</t>
        </is>
      </c>
      <c r="E67" s="13" t="inlineStr">
        <is>
          <t>Service Advisor</t>
        </is>
      </c>
      <c r="F67" s="13" t="inlineStr">
        <is>
          <t>Official PDF Assets Verification</t>
        </is>
      </c>
      <c r="G67" s="13" t="inlineStr">
        <is>
          <t>Verifies Current_2025 BLANK RO UPDATED.xlsx - Quotation_No.pdf Billing_No.pdf and CheckList_Result.pdf exist and display in browser</t>
        </is>
      </c>
      <c r="H67" s="14" t="inlineStr">
        <is>
          <t>Pending</t>
        </is>
      </c>
      <c r="I67" s="13" t="inlineStr"/>
    </row>
    <row r="68">
      <c r="A68" s="12" t="inlineStr">
        <is>
          <t>SA-STU-09</t>
        </is>
      </c>
      <c r="B68" s="13" t="inlineStr">
        <is>
          <t>SA 2025 RO Studio</t>
        </is>
      </c>
      <c r="C68" s="13" t="inlineStr">
        <is>
          <t>Tier 3 (Shared Core)</t>
        </is>
      </c>
      <c r="D68" s="13" t="inlineStr">
        <is>
          <t>Service Advisor</t>
        </is>
      </c>
      <c r="E68" s="13" t="inlineStr">
        <is>
          <t>Service Advisor</t>
        </is>
      </c>
      <c r="F68" s="13" t="inlineStr">
        <is>
          <t>Dynamic PDF Stamping on Quotation Billing &amp; Checklist</t>
        </is>
      </c>
      <c r="G68" s="13" t="inlineStr">
        <is>
          <t>Typing into SA inputs dynamically stamps text into Quotation Billing and Checklist PDF templates and updates iframe previews</t>
        </is>
      </c>
      <c r="H68" s="14" t="inlineStr">
        <is>
          <t>Pending</t>
        </is>
      </c>
      <c r="I68" s="13" t="inlineStr"/>
    </row>
    <row r="69">
      <c r="A69" s="12" t="inlineStr">
        <is>
          <t>SA-STU-10</t>
        </is>
      </c>
      <c r="B69" s="13" t="inlineStr">
        <is>
          <t>SA 2025 RO Studio</t>
        </is>
      </c>
      <c r="C69" s="13" t="inlineStr">
        <is>
          <t>Tier 1 (Visual/Cosmetic)</t>
        </is>
      </c>
      <c r="D69" s="13" t="inlineStr">
        <is>
          <t>Service Advisor</t>
        </is>
      </c>
      <c r="E69" s="13" t="inlineStr">
        <is>
          <t>Service Advisor</t>
        </is>
      </c>
      <c r="F69" s="13" t="inlineStr">
        <is>
          <t>Harmonized PDF Typography &amp; Elimination of Distorted Fonts</t>
        </is>
      </c>
      <c r="G69" s="13" t="inlineStr">
        <is>
          <t>Replaces glaring red font and border whiteouts with professional dark charcoal ink (rgb(0.08 0.08 0.08)) and 8pt standard typography</t>
        </is>
      </c>
      <c r="H69" s="14" t="inlineStr">
        <is>
          <t>Pending</t>
        </is>
      </c>
      <c r="I69" s="13" t="inlineStr"/>
    </row>
    <row r="70">
      <c r="A70" s="12" t="inlineStr">
        <is>
          <t>WF-01</t>
        </is>
      </c>
      <c r="B70" s="13" t="inlineStr">
        <is>
          <t>AI Workflow</t>
        </is>
      </c>
      <c r="C70" s="13" t="inlineStr">
        <is>
          <t>Tier 3 (Shared Core)</t>
        </is>
      </c>
      <c r="D70" s="13" t="inlineStr">
        <is>
          <t>Workflow &amp; Governance</t>
        </is>
      </c>
      <c r="E70" s="13" t="inlineStr">
        <is>
          <t>Developer / AI</t>
        </is>
      </c>
      <c r="F70" s="13" t="inlineStr">
        <is>
          <t>Open-Minded Collaborative Inquiry Mandate</t>
        </is>
      </c>
      <c r="G70" s="13" t="inlineStr">
        <is>
          <t>AI formulates deep open-minded questions in implementation plans before writing code to align with user</t>
        </is>
      </c>
      <c r="H70" s="14" t="inlineStr">
        <is>
          <t>Pending</t>
        </is>
      </c>
      <c r="I70" s="13" t="inlineStr"/>
    </row>
    <row r="71">
      <c r="A71" s="12" t="inlineStr">
        <is>
          <t>SA-STU-11</t>
        </is>
      </c>
      <c r="B71" s="13" t="inlineStr">
        <is>
          <t>SA 2025 RO Studio</t>
        </is>
      </c>
      <c r="C71" s="13" t="inlineStr">
        <is>
          <t>Tier 3 (Shared Core)</t>
        </is>
      </c>
      <c r="D71" s="13" t="inlineStr">
        <is>
          <t>Service Advisor</t>
        </is>
      </c>
      <c r="E71" s="13" t="inlineStr">
        <is>
          <t>Service Advisor</t>
        </is>
      </c>
      <c r="F71" s="13" t="inlineStr">
        <is>
          <t>Official XLSX Binary Buffer Fetch &amp; Lossless Cache Engine</t>
        </is>
      </c>
      <c r="G71" s="13" t="inlineStr">
        <is>
          <t>Loads pristine Current_2025 BLANK RO UPDATED.xlsx via arrayBuffer and caches for zero-lag data injection</t>
        </is>
      </c>
      <c r="H71" s="14" t="inlineStr">
        <is>
          <t>Pending</t>
        </is>
      </c>
      <c r="I71" s="13" t="inlineStr"/>
    </row>
    <row r="72">
      <c r="A72" s="12" t="inlineStr">
        <is>
          <t>SA-STU-12</t>
        </is>
      </c>
      <c r="B72" s="13" t="inlineStr">
        <is>
          <t>SA 2025 RO Studio</t>
        </is>
      </c>
      <c r="C72" s="13" t="inlineStr">
        <is>
          <t>Tier 3 (Shared Core)</t>
        </is>
      </c>
      <c r="D72" s="13" t="inlineStr">
        <is>
          <t>Service Advisor</t>
        </is>
      </c>
      <c r="E72" s="13" t="inlineStr">
        <is>
          <t>Service Advisor</t>
        </is>
      </c>
      <c r="F72" s="13" t="inlineStr">
        <is>
          <t>Multi-Sheet XLSX Precision Cell Injection</t>
        </is>
      </c>
      <c r="G72" s="13" t="inlineStr">
        <is>
          <t>Injects Job Order dossier (C10-K13) Parts (D-G) Materials (H-K) and Quote/Billing/Checklist across sheets 1-7</t>
        </is>
      </c>
      <c r="H72" s="14" t="inlineStr">
        <is>
          <t>Pending</t>
        </is>
      </c>
      <c r="I72" s="13" t="inlineStr"/>
    </row>
    <row r="73">
      <c r="A73" s="12" t="inlineStr">
        <is>
          <t>SA-STU-13</t>
        </is>
      </c>
      <c r="B73" s="13" t="inlineStr">
        <is>
          <t>SA 2025 RO Studio</t>
        </is>
      </c>
      <c r="C73" s="13" t="inlineStr">
        <is>
          <t>Tier 3 (Shared Core)</t>
        </is>
      </c>
      <c r="D73" s="13" t="inlineStr">
        <is>
          <t>Service Advisor</t>
        </is>
      </c>
      <c r="E73" s="13" t="inlineStr">
        <is>
          <t>Service Advisor</t>
        </is>
      </c>
      <c r="F73" s="13" t="inlineStr">
        <is>
          <t>Quotation Legacy Handler Scope Safety &amp; Zero-Crash Startup</t>
        </is>
      </c>
      <c r="G73" s="13" t="inlineStr">
        <is>
          <t>Eliminates Uncaught ReferenceError on removeForm23Row and registers safe compatibility aliases</t>
        </is>
      </c>
      <c r="H73" s="14" t="inlineStr">
        <is>
          <t>Pending</t>
        </is>
      </c>
      <c r="I73" s="13" t="inlineStr"/>
    </row>
    <row r="74">
      <c r="A74" s="12" t="inlineStr">
        <is>
          <t>SA-STU-14</t>
        </is>
      </c>
      <c r="B74" s="13" t="inlineStr">
        <is>
          <t>SA 2025 RO Studio</t>
        </is>
      </c>
      <c r="C74" s="13" t="inlineStr">
        <is>
          <t>Tier 3 (Shared Core)</t>
        </is>
      </c>
      <c r="D74" s="13" t="inlineStr">
        <is>
          <t>Service Advisor</t>
        </is>
      </c>
      <c r="E74" s="13" t="inlineStr">
        <is>
          <t>Service Advisor</t>
        </is>
      </c>
      <c r="F74" s="13" t="inlineStr">
        <is>
          <t>OpenXML SpreadsheetML Namespace Compliance &amp; LibreOffice Display Fix</t>
        </is>
      </c>
      <c r="G74" s="13" t="inlineStr">
        <is>
          <t>Eliminates empty xmlns attributes and uses createElementNS so cell data displays visibly in LibreOffice and Excel</t>
        </is>
      </c>
      <c r="H74" s="14" t="inlineStr">
        <is>
          <t>Pending</t>
        </is>
      </c>
      <c r="I74" s="13" t="inlineStr"/>
    </row>
    <row r="75">
      <c r="A75" s="12" t="inlineStr">
        <is>
          <t>SA-STU-15</t>
        </is>
      </c>
      <c r="B75" s="13" t="inlineStr">
        <is>
          <t>SA 2025 RO Studio</t>
        </is>
      </c>
      <c r="C75" s="13" t="inlineStr">
        <is>
          <t>Tier 3 (Shared Core)</t>
        </is>
      </c>
      <c r="D75" s="13" t="inlineStr">
        <is>
          <t>Service Advisor</t>
        </is>
      </c>
      <c r="E75" s="13" t="inlineStr">
        <is>
          <t>Service Advisor</t>
        </is>
      </c>
      <c r="F75" s="13" t="inlineStr">
        <is>
          <t>1-Button Studio RO Registration &amp; Central Database Sync</t>
        </is>
      </c>
      <c r="G75" s="13" t="inlineStr">
        <is>
          <t>Registers repair order with single click saving 10 core fields to MySQL and pushing to Daily Intakes Queue and Smart TV Monitor</t>
        </is>
      </c>
      <c r="H75" s="14" t="inlineStr">
        <is>
          <t>Pending</t>
        </is>
      </c>
      <c r="I75" s="13" t="inlineStr"/>
    </row>
    <row r="76">
      <c r="A76" s="12" t="inlineStr">
        <is>
          <t>SA-STU-16</t>
        </is>
      </c>
      <c r="B76" s="13" t="inlineStr">
        <is>
          <t>SA 2025 RO Studio</t>
        </is>
      </c>
      <c r="C76" s="13" t="inlineStr">
        <is>
          <t>Tier 3 (Shared Core)</t>
        </is>
      </c>
      <c r="D76" s="13" t="inlineStr">
        <is>
          <t>Service Advisor &amp; Assistant</t>
        </is>
      </c>
      <c r="E76" s="13" t="inlineStr">
        <is>
          <t>Service Advisor</t>
        </is>
      </c>
      <c r="F76" s="13" t="inlineStr">
        <is>
          <t>Customer Lookup &amp; Warranty Back-Job Studio Roundtrip</t>
        </is>
      </c>
      <c r="G76" s="13" t="inlineStr">
        <is>
          <t>Pre-fills customer dossier and vehicle data into 2025 RO Excel Studio with dedicated Back-Job Warranty banner and parent reference</t>
        </is>
      </c>
      <c r="H76" s="14" t="inlineStr">
        <is>
          <t>Pending</t>
        </is>
      </c>
      <c r="I76" s="13" t="inlineStr"/>
    </row>
    <row r="77">
      <c r="A77" s="12" t="inlineStr">
        <is>
          <t>SA-STU-17</t>
        </is>
      </c>
      <c r="B77" s="13" t="inlineStr">
        <is>
          <t>SA 2025 RO Studio</t>
        </is>
      </c>
      <c r="C77" s="13" t="inlineStr">
        <is>
          <t>Tier 2 (Workflow &amp; Ergonomics)</t>
        </is>
      </c>
      <c r="D77" s="13" t="inlineStr">
        <is>
          <t>Service Advisor</t>
        </is>
      </c>
      <c r="E77" s="13" t="inlineStr">
        <is>
          <t>Service Advisor</t>
        </is>
      </c>
      <c r="F77" s="13" t="inlineStr">
        <is>
          <t>Redundant Walk-In Intake Form Retirement &amp; Single Source of Truth</t>
        </is>
      </c>
      <c r="G77" s="13" t="inlineStr">
        <is>
          <t>Eliminates obsolete walk-in form from SA navigation establishing 2025 RO Excel Studio as the exclusive repair order creation engine</t>
        </is>
      </c>
      <c r="H77" s="14" t="inlineStr">
        <is>
          <t>Pending</t>
        </is>
      </c>
      <c r="I77" s="13" t="inlineStr"/>
    </row>
    <row r="78">
      <c r="A78" s="12" t="inlineStr">
        <is>
          <t>SA-STU-18</t>
        </is>
      </c>
      <c r="B78" s="13" t="inlineStr">
        <is>
          <t>SA 2025 RO Studio</t>
        </is>
      </c>
      <c r="C78" s="13" t="inlineStr">
        <is>
          <t>Tier 1 (Visual/Cosmetic)</t>
        </is>
      </c>
      <c r="D78" s="13" t="inlineStr">
        <is>
          <t>Customer Lookup</t>
        </is>
      </c>
      <c r="E78" s="13" t="inlineStr">
        <is>
          <t>Service Advisor &amp; Assistant</t>
        </is>
      </c>
      <c r="F78" s="13" t="inlineStr">
        <is>
          <t>Authentic HonTech 3-Column Customer Details Document Layout</t>
        </is>
      </c>
      <c r="G78" s="13" t="inlineStr">
        <is>
          <t>Replaces generic dossier cards with official Form 1/3 physical layout featuring top contact line (85644550/71219124) gray banner (#C0C0C0) and 12 underlined fields</t>
        </is>
      </c>
      <c r="H78" s="14" t="inlineStr">
        <is>
          <t>Pending</t>
        </is>
      </c>
      <c r="I78" s="13" t="inlineStr"/>
    </row>
    <row r="79">
      <c r="A79" s="12" t="inlineStr">
        <is>
          <t>SA-STU-19</t>
        </is>
      </c>
      <c r="B79" s="13" t="inlineStr">
        <is>
          <t>SA 2025 RO Studio</t>
        </is>
      </c>
      <c r="C79" s="13" t="inlineStr">
        <is>
          <t>Tier 2 (Single-Role)</t>
        </is>
      </c>
      <c r="D79" s="13" t="inlineStr">
        <is>
          <t>Customer Lookup</t>
        </is>
      </c>
      <c r="E79" s="13" t="inlineStr">
        <is>
          <t>Service Advisor &amp; Assistant</t>
        </is>
      </c>
      <c r="F79" s="13" t="inlineStr">
        <is>
          <t>12-Field Data Binding &amp; Registry Extraction</t>
        </is>
      </c>
      <c r="G79" s="13" t="inlineStr">
        <is>
          <t>Extracts email and chassis number from jobs database and populates all 12 form fields (Name Address Contact Email Model KM Engine Chassis Plate Intake Promise Color)</t>
        </is>
      </c>
      <c r="H79" s="14" t="inlineStr">
        <is>
          <t>Pending</t>
        </is>
      </c>
      <c r="I79" s="13" t="inlineStr"/>
    </row>
    <row r="80">
      <c r="A80" s="12" t="inlineStr">
        <is>
          <t>SA-STU-20</t>
        </is>
      </c>
      <c r="B80" s="13" t="inlineStr">
        <is>
          <t>SA 2025 RO Studio</t>
        </is>
      </c>
      <c r="C80" s="13" t="inlineStr">
        <is>
          <t>Tier 2 (Workflow &amp; Ergonomics)</t>
        </is>
      </c>
      <c r="D80" s="13" t="inlineStr">
        <is>
          <t>Customer Lookup</t>
        </is>
      </c>
      <c r="E80" s="13" t="inlineStr">
        <is>
          <t>Service Advisor &amp; Assistant</t>
        </is>
      </c>
      <c r="F80" s="13" t="inlineStr">
        <is>
          <t>One-Click Customer Dossier Clipboard Copy &amp; Action Toolbar</t>
        </is>
      </c>
      <c r="G80" s="13" t="inlineStr">
        <is>
          <t>Clicking [Copy Info] copies complete formatted customer and vehicle dossier to clipboard while preserving Start New Service Issue Back-Job and Passport PDF actions</t>
        </is>
      </c>
      <c r="H80" s="14" t="inlineStr">
        <is>
          <t>Pending</t>
        </is>
      </c>
      <c r="I80" s="13" t="inlineStr"/>
    </row>
    <row r="81">
      <c r="A81" s="12" t="inlineStr">
        <is>
          <t>SA-STU-21</t>
        </is>
      </c>
      <c r="B81" s="13" t="inlineStr">
        <is>
          <t>SA 2025 RO Studio</t>
        </is>
      </c>
      <c r="C81" s="13" t="inlineStr">
        <is>
          <t>Tier 2 (Workflow &amp; Ergonomics)</t>
        </is>
      </c>
      <c r="D81" s="13" t="inlineStr">
        <is>
          <t>Master Queue Tables</t>
        </is>
      </c>
      <c r="E81" s="13" t="inlineStr">
        <is>
          <t>Service Advisor &amp; All Roles</t>
        </is>
      </c>
      <c r="F81" s="13" t="inlineStr">
        <is>
          <t>Multi-Table Design Harmonization &amp; Inner Viewport Scroll Limits</t>
        </is>
      </c>
      <c r="G81" s="13" t="inlineStr">
        <is>
          <t>Verifies Daily Intakes has max-h-500px and Booking/Carry-Over have max-h-480px scroll containers with py-5 row padding and px-3 py-1.5 badges</t>
        </is>
      </c>
      <c r="H81" s="14" t="inlineStr">
        <is>
          <t>Pending</t>
        </is>
      </c>
      <c r="I81" s="13" t="inlineStr"/>
    </row>
    <row r="82">
      <c r="A82" s="12" t="inlineStr">
        <is>
          <t>SA-STU-22</t>
        </is>
      </c>
      <c r="B82" s="13" t="inlineStr">
        <is>
          <t>SA 2025 RO Studio</t>
        </is>
      </c>
      <c r="C82" s="13" t="inlineStr">
        <is>
          <t>Tier 2 (Workflow &amp; Ergonomics)</t>
        </is>
      </c>
      <c r="D82" s="13" t="inlineStr">
        <is>
          <t>Carry-Over Queue</t>
        </is>
      </c>
      <c r="E82" s="13" t="inlineStr">
        <is>
          <t>Service Advisor &amp; All Roles</t>
        </is>
      </c>
      <c r="F82" s="13" t="inlineStr">
        <is>
          <t>Carry-Over Table Claim Stub Removal &amp; Hybrid Flexible Remarks Combobox</t>
        </is>
      </c>
      <c r="G82" s="13" t="inlineStr">
        <is>
          <t>Removes Claim Stub column recovering horizontal space; renames Status to Remarks; allows free-form text input or quick standard preset selection</t>
        </is>
      </c>
      <c r="H82" s="14" t="inlineStr">
        <is>
          <t>Pending</t>
        </is>
      </c>
      <c r="I82" s="13" t="inlineStr"/>
    </row>
    <row r="83">
      <c r="A83" s="12" t="inlineStr">
        <is>
          <t>TV-06</t>
        </is>
      </c>
      <c r="B83" s="13" t="inlineStr">
        <is>
          <t>TV Monitor</t>
        </is>
      </c>
      <c r="C83" s="13" t="inlineStr">
        <is>
          <t>Tier 2 (Workflow &amp; Ergonomics)</t>
        </is>
      </c>
      <c r="D83" s="13" t="inlineStr">
        <is>
          <t>Smart TV &amp; Reception Lounge</t>
        </is>
      </c>
      <c r="E83" s="13" t="inlineStr">
        <is>
          <t>All Staff &amp; Customers</t>
        </is>
      </c>
      <c r="F83" s="13" t="inlineStr">
        <is>
          <t>Status Upgrade to Processing with Relaxing Lounge Female Voice &amp; Pre-Speech Chime</t>
        </is>
      </c>
      <c r="G83" s="13" t="inlineStr">
        <is>
          <t>Replaces Monitoring with Processing across Daily Intakes row dropdowns and TV monitors; tunes relaxing soft female voice engine (pitch: 1.05 rate: 0.88) with 3-tone lounge chime and browser autoplay unlock</t>
        </is>
      </c>
      <c r="H83" s="14" t="inlineStr">
        <is>
          <t>Pending</t>
        </is>
      </c>
      <c r="I83" s="13" t="inlineStr"/>
    </row>
    <row r="84">
      <c r="A84" s="12" t="inlineStr">
        <is>
          <t>SA-STU-23</t>
        </is>
      </c>
      <c r="B84" s="13" t="inlineStr">
        <is>
          <t>SA 2025 RO Studio</t>
        </is>
      </c>
      <c r="C84" s="13" t="inlineStr">
        <is>
          <t>Tier 1 (Visual/Cosmetic)</t>
        </is>
      </c>
      <c r="D84" s="13" t="inlineStr">
        <is>
          <t>Master Dashboard &amp; Queue</t>
        </is>
      </c>
      <c r="E84" s="13" t="inlineStr">
        <is>
          <t>Service Advisor &amp; Admin</t>
        </is>
      </c>
      <c r="F84" s="13" t="inlineStr">
        <is>
          <t>Universal Broadcast Alert Toast &amp; Bay Dispatch Processing Promotion</t>
        </is>
      </c>
      <c r="G84" s="13" t="inlineStr">
        <is>
          <t>Displays floating top alert plaque for workshop processing and bay allocation across all dashboard tabs with auto-dismiss and backward compatibility for legacy Monitoring records</t>
        </is>
      </c>
      <c r="H84" s="14" t="inlineStr">
        <is>
          <t>Pending</t>
        </is>
      </c>
      <c r="I84" s="13" t="inlineStr"/>
    </row>
    <row r="85">
      <c r="A85" s="12" t="inlineStr">
        <is>
          <t>SA-STU-24</t>
        </is>
      </c>
      <c r="B85" s="13" t="inlineStr">
        <is>
          <t>SA 2025 RO Studio</t>
        </is>
      </c>
      <c r="C85" s="13" t="inlineStr">
        <is>
          <t>Tier 2 (Workflow &amp; Ergonomics)</t>
        </is>
      </c>
      <c r="D85" s="13" t="inlineStr">
        <is>
          <t>Daily Intakes Queue</t>
        </is>
      </c>
      <c r="E85" s="13" t="inlineStr">
        <is>
          <t>Service Advisor</t>
        </is>
      </c>
      <c r="F85" s="13" t="inlineStr">
        <is>
          <t>Automatic Departure Clock Stamping upon Actual Release</t>
        </is>
      </c>
      <c r="G85" s="13" t="inlineStr">
        <is>
          <t>Clicking [Release] automatically captures current 24H system time without manual typing and saves departure and date_completed to central MySQL database</t>
        </is>
      </c>
      <c r="H85" s="14" t="inlineStr">
        <is>
          <t>Pending</t>
        </is>
      </c>
      <c r="I85" s="13" t="inlineStr"/>
    </row>
    <row r="86">
      <c r="A86" s="12" t="inlineStr">
        <is>
          <t>SA-STU-25</t>
        </is>
      </c>
      <c r="B86" s="13" t="inlineStr">
        <is>
          <t>SA 2025 RO Studio</t>
        </is>
      </c>
      <c r="C86" s="13" t="inlineStr">
        <is>
          <t>Tier 2 (Workflow &amp; Ergonomics)</t>
        </is>
      </c>
      <c r="D86" s="13" t="inlineStr">
        <is>
          <t>Daily Intakes Queue</t>
        </is>
      </c>
      <c r="E86" s="13" t="inlineStr">
        <is>
          <t>Service Advisor</t>
        </is>
      </c>
      <c r="F86" s="13" t="inlineStr">
        <is>
          <t>Same-Day Release Retention &amp; Re-Open Exception Safeguard</t>
        </is>
      </c>
      <c r="G86" s="13" t="inlineStr">
        <is>
          <t>Retains released vehicles in today intake queue with locked status and allows SA to click Re-open to clear departure and restore vehicle to active Processing status</t>
        </is>
      </c>
      <c r="H86" s="14" t="inlineStr">
        <is>
          <t>Pending</t>
        </is>
      </c>
      <c r="I86" s="13" t="inlineStr"/>
    </row>
    <row r="87">
      <c r="A87" s="12" t="inlineStr">
        <is>
          <t>SA-STU-26</t>
        </is>
      </c>
      <c r="B87" s="13" t="inlineStr">
        <is>
          <t>SA 2025 RO Studio</t>
        </is>
      </c>
      <c r="C87" s="13" t="inlineStr">
        <is>
          <t>Tier 2 (Workflow &amp; Ergonomics)</t>
        </is>
      </c>
      <c r="D87" s="13" t="inlineStr">
        <is>
          <t>Daily Intakes Queue</t>
        </is>
      </c>
      <c r="E87" s="13" t="inlineStr">
        <is>
          <t>Service Advisor &amp; All Roles</t>
        </is>
      </c>
      <c r="F87" s="13" t="inlineStr">
        <is>
          <t>Natural Alphanumeric Claim Stub Sorting Hierarchy</t>
        </is>
      </c>
      <c r="G87" s="13" t="inlineStr">
        <is>
          <t>Orders claim stubs logically by sequence number (e.g. 052226j1 before 052226j2 before 052226j10) preventing ASCII sorting disorder</t>
        </is>
      </c>
      <c r="H87" s="14" t="inlineStr">
        <is>
          <t>Pending</t>
        </is>
      </c>
      <c r="I87" s="13" t="inlineStr"/>
    </row>
    <row r="88">
      <c r="A88" s="12" t="inlineStr">
        <is>
          <t>SA-STU-27</t>
        </is>
      </c>
      <c r="B88" s="13" t="inlineStr">
        <is>
          <t>SA 2025 RO Studio</t>
        </is>
      </c>
      <c r="C88" s="13" t="inlineStr">
        <is>
          <t>Tier 2 (Workflow &amp; Ergonomics)</t>
        </is>
      </c>
      <c r="D88" s="13" t="inlineStr">
        <is>
          <t>Daily Intakes Queue &amp; Customer Lookup</t>
        </is>
      </c>
      <c r="E88" s="13" t="inlineStr">
        <is>
          <t>Service Advisor &amp; All Roles</t>
        </is>
      </c>
      <c r="F88" s="13" t="inlineStr">
        <is>
          <t>Interactive Claim Stub Customer Lookup Link &amp; Live Status Pulse Badge</t>
        </is>
      </c>
      <c r="G88" s="13" t="inlineStr">
        <is>
          <t>Eliminates redundant printer button from table cell and links claim stub badge to Customer Lookup dossier with real-time workshop status indicator</t>
        </is>
      </c>
      <c r="H88" s="14" t="inlineStr">
        <is>
          <t>Pending</t>
        </is>
      </c>
      <c r="I88" s="13" t="inlineStr"/>
    </row>
    <row r="89">
      <c r="A89" s="12" t="inlineStr">
        <is>
          <t>SA-STU-28</t>
        </is>
      </c>
      <c r="B89" s="13" t="inlineStr">
        <is>
          <t>SA 2025 RO Studio</t>
        </is>
      </c>
      <c r="C89" s="13" t="inlineStr">
        <is>
          <t>Tier 2 (Workflow &amp; Ergonomics)</t>
        </is>
      </c>
      <c r="D89" s="13" t="inlineStr">
        <is>
          <t>Daily Intakes Queue</t>
        </is>
      </c>
      <c r="E89" s="13" t="inlineStr">
        <is>
          <t>Service Advisor</t>
        </is>
      </c>
      <c r="F89" s="13" t="inlineStr">
        <is>
          <t>Express 2-Hour SLA Overrun Incident Trigger &amp; Modal Dialog</t>
        </is>
      </c>
      <c r="G89" s="13" t="inlineStr">
        <is>
          <t>When turnaround time crosses 120 minutes (2h) without release, renders interactive [⚠️ 2h Exceeded — File Report] button opening pre-filled delay report dialog and capturing reason category and verbatim SA notes</t>
        </is>
      </c>
      <c r="H89" s="14" t="inlineStr">
        <is>
          <t>Pending</t>
        </is>
      </c>
      <c r="I89" s="13" t="inlineStr"/>
    </row>
    <row r="90">
      <c r="A90" s="12" t="inlineStr">
        <is>
          <t>SA-STU-29</t>
        </is>
      </c>
      <c r="B90" s="13" t="inlineStr">
        <is>
          <t>SA 2025 RO Studio</t>
        </is>
      </c>
      <c r="C90" s="13" t="inlineStr">
        <is>
          <t>Tier 2 (Workflow &amp; Ergonomics)</t>
        </is>
      </c>
      <c r="D90" s="13" t="inlineStr">
        <is>
          <t>Executive Analytics &amp; Audit Hub</t>
        </is>
      </c>
      <c r="E90" s="13" t="inlineStr">
        <is>
          <t>Owner &amp; Admin</t>
        </is>
      </c>
      <c r="F90" s="13" t="inlineStr">
        <is>
          <t>Simple Tabular Express Delay &amp; Turnaround Audit Hub (No Canvas Graphs)</t>
        </is>
      </c>
      <c r="G90" s="13" t="inlineStr">
        <is>
          <t>Displays clean, graph-free line-by-line audit table of delayed jobs with duration, overrun delta (+Xm), SA diagnosis remarks, CSV export, and print capabilities</t>
        </is>
      </c>
      <c r="H90" s="14" t="inlineStr">
        <is>
          <t>Pending</t>
        </is>
      </c>
      <c r="I90" s="13" t="inlineStr"/>
    </row>
    <row r="91">
      <c r="A91" s="12" t="inlineStr">
        <is>
          <t>TV-07</t>
        </is>
      </c>
      <c r="B91" s="13" t="inlineStr">
        <is>
          <t>TV Monitor</t>
        </is>
      </c>
      <c r="C91" s="13" t="inlineStr">
        <is>
          <t>Tier 2 (Workflow &amp; Ergonomics)</t>
        </is>
      </c>
      <c r="D91" s="13" t="inlineStr">
        <is>
          <t>Smart TV &amp; Reception Lounge</t>
        </is>
      </c>
      <c r="E91" s="13" t="inlineStr">
        <is>
          <t>All Staff &amp; Customers</t>
        </is>
      </c>
      <c r="F91" s="13" t="inlineStr">
        <is>
          <t>Dual-Mode TV Audio-Visual Announcements on Status and Location Transitions</t>
        </is>
      </c>
      <c r="G91" s="13" t="inlineStr">
        <is>
          <t>Tracks location (bay allocation) and status updates; triggers color-coded top plaque (blue/emerald/red/amber), 3-tone chime, locked permanent female voice, and sequential queuing; enforces silent SA dashboard with top visual toast only</t>
        </is>
      </c>
      <c r="H91" s="14" t="inlineStr">
        <is>
          <t>Pending</t>
        </is>
      </c>
      <c r="I91" s="13" t="inlineStr"/>
    </row>
    <row r="92">
      <c r="A92" s="12" t="inlineStr">
        <is>
          <t>SA-STU-30</t>
        </is>
      </c>
      <c r="B92" s="13" t="inlineStr">
        <is>
          <t>SA 2025 RO Studio</t>
        </is>
      </c>
      <c r="C92" s="13" t="inlineStr">
        <is>
          <t>Tier 2 (Workflow &amp; Ergonomics)</t>
        </is>
      </c>
      <c r="D92" s="13" t="inlineStr">
        <is>
          <t>2025 RO Excel Studio</t>
        </is>
      </c>
      <c r="E92" s="13" t="inlineStr">
        <is>
          <t>Service Advisor</t>
        </is>
      </c>
      <c r="F92" s="13" t="inlineStr">
        <is>
          <t>Lossless Excel Multi-Sheet Export Auto-Locking</t>
        </is>
      </c>
      <c r="G92" s="13" t="inlineStr">
        <is>
          <t>When SA clicks [Export Official .xlsx] all exported worksheets (Job_Order Quotation Billing CheckList) automatically inject OpenXML sheetProtection preventing unauthorized cell tampering upon opening in Microsoft Excel</t>
        </is>
      </c>
      <c r="H92" s="14" t="inlineStr">
        <is>
          <t>Pending</t>
        </is>
      </c>
      <c r="I92" s="13" t="inlineStr"/>
    </row>
    <row r="93">
      <c r="A93" s="12" t="inlineStr">
        <is>
          <t>AUTH-08</t>
        </is>
      </c>
      <c r="B93" s="13" t="inlineStr">
        <is>
          <t>Authentication</t>
        </is>
      </c>
      <c r="C93" s="13" t="inlineStr">
        <is>
          <t>Tier 2 (Single-Role)</t>
        </is>
      </c>
      <c r="D93" s="13" t="inlineStr">
        <is>
          <t>User Directory &amp; Seeder</t>
        </is>
      </c>
      <c r="E93" s="13" t="inlineStr">
        <is>
          <t>All Staff Roles</t>
        </is>
      </c>
      <c r="F93" s="13" t="inlineStr">
        <is>
          <t>Authentic HonTech Staff Directory Roster &amp; Test Names Preservation</t>
        </is>
      </c>
      <c r="G93" s="13" t="inlineStr">
        <is>
          <t>Updates system seed data with genuine staff roster (Nicodemus De Guzman Laynie Espiritu Manney Sarol Marriel Ayo Mhiecaella Parungao Vic Godoy Ed Marvin Malantay) while preserving prior test names as code comments</t>
        </is>
      </c>
      <c r="H93" s="14" t="inlineStr">
        <is>
          <t>Pending</t>
        </is>
      </c>
      <c r="I93" s="13" t="inlineStr"/>
    </row>
    <row r="94">
      <c r="A94" s="12" t="inlineStr">
        <is>
          <t>AST-05</t>
        </is>
      </c>
      <c r="B94" s="13" t="inlineStr">
        <is>
          <t>Assistant Staff</t>
        </is>
      </c>
      <c r="C94" s="13" t="inlineStr">
        <is>
          <t>Tier 2 (Workflow &amp; Ergonomics)</t>
        </is>
      </c>
      <c r="D94" s="13" t="inlineStr">
        <is>
          <t>Intake Module</t>
        </is>
      </c>
      <c r="E94" s="13" t="inlineStr">
        <is>
          <t>Assistant</t>
        </is>
      </c>
      <c r="F94" s="13" t="inlineStr">
        <is>
          <t>Intake Destination Table &amp; Target Branch Switching</t>
        </is>
      </c>
      <c r="G94" s="13" t="inlineStr">
        <is>
          <t>Assistant can toggle intake destination between Booking Module and Daily Intakes via segmented pill buttons and assign the intake to Marikina Branch or East Branch</t>
        </is>
      </c>
      <c r="H94" s="14" t="inlineStr">
        <is>
          <t>Pending</t>
        </is>
      </c>
      <c r="I94" s="13" t="inlineStr"/>
    </row>
    <row r="95">
      <c r="A95" s="12" t="inlineStr">
        <is>
          <t>SA-STU-31</t>
        </is>
      </c>
      <c r="B95" s="13" t="inlineStr">
        <is>
          <t>SA 2025 RO Studio</t>
        </is>
      </c>
      <c r="C95" s="13" t="inlineStr">
        <is>
          <t>Tier 1 (Visual/Cosmetic)</t>
        </is>
      </c>
      <c r="D95" s="13" t="inlineStr">
        <is>
          <t>Customer Lookup</t>
        </is>
      </c>
      <c r="E95" s="13" t="inlineStr">
        <is>
          <t>Service Advisor &amp; Assistant</t>
        </is>
      </c>
      <c r="F95" s="13" t="inlineStr">
        <is>
          <t>Modernized Customer Dossier Profile Card (Clutter &amp; Box Removal)</t>
        </is>
      </c>
      <c r="G95" s="13" t="inlineStr">
        <is>
          <t>Removes bulky borders and underscore placeholder clutter from the Customer Lookup dossier card in favor of clean modern cards with sleek badge pills and legible fallbacks</t>
        </is>
      </c>
      <c r="H95" s="14" t="inlineStr">
        <is>
          <t>Pending</t>
        </is>
      </c>
      <c r="I95" s="13" t="inlineStr"/>
    </row>
    <row r="96">
      <c r="A96" s="12" t="inlineStr">
        <is>
          <t>SEC-09</t>
        </is>
      </c>
      <c r="B96" s="13" t="inlineStr">
        <is>
          <t>Security &amp; RBAC</t>
        </is>
      </c>
      <c r="C96" s="13" t="inlineStr">
        <is>
          <t>Tier 3 (Regression/Safety)</t>
        </is>
      </c>
      <c r="D96" s="13" t="inlineStr">
        <is>
          <t>Root Architecture &amp; Tooling</t>
        </is>
      </c>
      <c r="E96" s="13" t="inlineStr">
        <is>
          <t>All Staff &amp; Developers</t>
        </is>
      </c>
      <c r="F96" s="13" t="inlineStr">
        <is>
          <t>Repository File Structure Restructuring &amp; Tooling Organization</t>
        </is>
      </c>
      <c r="G96" s="13" t="inlineStr">
        <is>
          <t>Segregates loose batch and utility scripts into scripts/; isolates legacy prototypes and external docs into archive/; eliminates root 55MB binary duplicate; updates package.json references</t>
        </is>
      </c>
      <c r="H96" s="14" t="inlineStr">
        <is>
          <t>Pending</t>
        </is>
      </c>
      <c r="I96" s="13" t="inlineStr"/>
    </row>
    <row r="97">
      <c r="A97" s="12" t="inlineStr">
        <is>
          <t>SA-STU-32</t>
        </is>
      </c>
      <c r="B97" s="13" t="inlineStr">
        <is>
          <t>SA 2025 RO Studio</t>
        </is>
      </c>
      <c r="C97" s="13" t="inlineStr">
        <is>
          <t>Tier 1 (Visual/Cosmetic)</t>
        </is>
      </c>
      <c r="D97" s="13" t="inlineStr">
        <is>
          <t>Customer Lookup</t>
        </is>
      </c>
      <c r="E97" s="13" t="inlineStr">
        <is>
          <t>Service Advisor &amp; Assistant</t>
        </is>
      </c>
      <c r="F97" s="13" t="inlineStr">
        <is>
          <t>Authentic 2025 RO Form 1/3 CUSTOMER DETAILS Tabular Layout</t>
        </is>
      </c>
      <c r="G97" s="13" t="inlineStr">
        <is>
          <t>Displays exact printed 2025 RO Form 1/3 header and 3-column table matrix (Name Address Contact E-Mail | Year/Model KM Engine Chassis | Plate Intake Promise Color) with authentic black border and form line underlines</t>
        </is>
      </c>
      <c r="H97" s="14" t="inlineStr">
        <is>
          <t>Pending</t>
        </is>
      </c>
      <c r="I97" s="13" t="inlineStr"/>
    </row>
    <row r="98">
      <c r="A98" s="12" t="inlineStr">
        <is>
          <t>AST-06</t>
        </is>
      </c>
      <c r="B98" s="13" t="inlineStr">
        <is>
          <t>Assistant Staff</t>
        </is>
      </c>
      <c r="C98" s="13" t="inlineStr">
        <is>
          <t>Tier 2 (Workflow &amp; Ergonomics)</t>
        </is>
      </c>
      <c r="D98" s="13" t="inlineStr">
        <is>
          <t>Online Booking Module &amp; Form 1/3 Studio</t>
        </is>
      </c>
      <c r="E98" s="13" t="inlineStr">
        <is>
          <t>Assistant &amp; Service Advisor</t>
        </is>
      </c>
      <c r="F98" s="13" t="inlineStr">
        <is>
          <t>Multi-Branch Online Booking Module Selection &amp; 1-Click Form 1/3 Import</t>
        </is>
      </c>
      <c r="G98" s="13" t="inlineStr">
        <is>
          <t>Assistant and Service Advisors can filter online bookings by All Branches / Marikina Main / East Branch, reassign inquiry branch inline in the table, and SA can click [Load to RO] to instantly populate customer dossier into Form 1/3 Studio</t>
        </is>
      </c>
      <c r="H98" s="14" t="inlineStr">
        <is>
          <t>Pending</t>
        </is>
      </c>
      <c r="I98" s="13" t="inlineStr"/>
    </row>
    <row r="99">
      <c r="A99" s="12" t="inlineStr">
        <is>
          <t>SA-STU-33</t>
        </is>
      </c>
      <c r="B99" s="13" t="inlineStr">
        <is>
          <t>SA 2025 RO Studio</t>
        </is>
      </c>
      <c r="C99" s="13" t="inlineStr">
        <is>
          <t>Tier 2 (Workflow &amp; Ergonomics)</t>
        </is>
      </c>
      <c r="D99" s="13" t="inlineStr">
        <is>
          <t>2025 RO Excel Studio (Form 1/3)</t>
        </is>
      </c>
      <c r="E99" s="13" t="inlineStr">
        <is>
          <t>Service Advisor</t>
        </is>
      </c>
      <c r="F99" s="13" t="inlineStr">
        <is>
          <t>Workshop Monitoring &amp; Daily Intakes Dispatch Card with Auto-Prefilled Claim Stub &amp; Arrival Clock</t>
        </is>
      </c>
      <c r="G99" s="13" t="inlineStr">
        <is>
          <t>Dedicated dispatch card at top of Form 1/3 auto-prefills sequential claim stub (e.g. 092026-j1) and arrival time (HH:MM); provides branch, lane type, bay, parts status, and floor status selectors; binds all 14 parameters directly into 1-button registration</t>
        </is>
      </c>
      <c r="H99" s="14" t="inlineStr">
        <is>
          <t>Pending</t>
        </is>
      </c>
      <c r="I99" s="13" t="inlineStr"/>
    </row>
    <row r="100">
      <c r="A100" s="12" t="inlineStr">
        <is>
          <t>SA-STU-34</t>
        </is>
      </c>
      <c r="B100" s="13" t="inlineStr">
        <is>
          <t>SA 2025 RO Studio</t>
        </is>
      </c>
      <c r="C100" s="13" t="inlineStr">
        <is>
          <t>Tier 2 (Workflow &amp; Ergonomics)</t>
        </is>
      </c>
      <c r="D100" s="13" t="inlineStr">
        <is>
          <t>2025 RO Excel Studio (Form 1/3)</t>
        </is>
      </c>
      <c r="E100" s="13" t="inlineStr">
        <is>
          <t>Service Advisor</t>
        </is>
      </c>
      <c r="F100" s="13" t="inlineStr">
        <is>
          <t>Step 1 Workshop Monitoring First Workflow &amp; Daily Claim Stub Ranking (092026-J1 &gt; J2 &gt; J3)</t>
        </is>
      </c>
      <c r="G100" s="13" t="inlineStr">
        <is>
          <t>Positions Workshop Monitoring Card at top of Form 1/3 Studio as Card #1; embeds full-width red [Register Repair Order to System] button directly inside monitoring card; enforces daily J-sequence claim stub ranking starting at 092026-J1 and incrementing to J2 and J3 upon successive intakes</t>
        </is>
      </c>
      <c r="H100" s="14" t="inlineStr">
        <is>
          <t>Pending</t>
        </is>
      </c>
      <c r="I100" s="13" t="inlineStr"/>
    </row>
    <row r="101">
      <c r="A101" s="12" t="inlineStr">
        <is>
          <t>AST-07</t>
        </is>
      </c>
      <c r="B101" s="13" t="inlineStr">
        <is>
          <t>Assistant Staff</t>
        </is>
      </c>
      <c r="C101" s="13" t="inlineStr">
        <is>
          <t>Tier 3 (Regression/Safety)</t>
        </is>
      </c>
      <c r="D101" s="13" t="inlineStr">
        <is>
          <t>Master Navigation &amp; Main Content</t>
        </is>
      </c>
      <c r="E101" s="13" t="inlineStr">
        <is>
          <t>All Staff (Assistant &amp; Service Advisor)</t>
        </is>
      </c>
      <c r="F101" s="13" t="inlineStr">
        <is>
          <t>Form 1/3 Studio Closing Div Balance &amp; Universal Module Visibility Restored</t>
        </is>
      </c>
      <c r="G101" s="13" t="inlineStr">
        <is>
          <t>Ensures section-form13 is cleanly closed so downstream modules (Daily Intakes, Workshop Bays, Online Bookings, Master Queue) remain direct children of main container and render without display:none cascading trap</t>
        </is>
      </c>
      <c r="H101" s="14" t="inlineStr">
        <is>
          <t>Pending</t>
        </is>
      </c>
      <c r="I101" s="13" t="inlineStr"/>
    </row>
    <row r="102">
      <c r="A102" s="12" t="inlineStr">
        <is>
          <t>SA-STU-35</t>
        </is>
      </c>
      <c r="B102" s="13" t="inlineStr">
        <is>
          <t>SA 2025 RO Studio</t>
        </is>
      </c>
      <c r="C102" s="13" t="inlineStr">
        <is>
          <t>Tier 2 (Workflow &amp; Ergonomics)</t>
        </is>
      </c>
      <c r="D102" s="13" t="inlineStr">
        <is>
          <t>2025 RO Excel Studio (Form 1/3)</t>
        </is>
      </c>
      <c r="E102" s="13" t="inlineStr">
        <is>
          <t>Service Advisor</t>
        </is>
      </c>
      <c r="F102" s="13" t="inlineStr">
        <is>
          <t>Form 1/3 Right-Side PDF Preview Restoration &amp; Hyphen-Free Claim Stub Ranking (092026J1)</t>
        </is>
      </c>
      <c r="G102" s="13" t="inlineStr">
        <is>
          <t>Restores side-by-side 2-column layout in Form 1/3 Studio by closing editor pane before canvas pane; renders authentic Form 1/3 PDF preview iframe in right column with action toolbar; formats claim stub strictly as MMDDYYJ1 without hyphens</t>
        </is>
      </c>
      <c r="H102" s="14" t="inlineStr">
        <is>
          <t>Pending</t>
        </is>
      </c>
      <c r="I102" s="13" t="inlineStr"/>
    </row>
    <row r="103">
      <c r="A103" s="12" t="inlineStr">
        <is>
          <t>SA-STU-36</t>
        </is>
      </c>
      <c r="B103" s="13" t="inlineStr">
        <is>
          <t>SA 2025 RO Studio</t>
        </is>
      </c>
      <c r="C103" s="13" t="inlineStr">
        <is>
          <t>Tier 2 (Workflow &amp; Ergonomics)</t>
        </is>
      </c>
      <c r="D103" s="13" t="inlineStr">
        <is>
          <t>2025 RO Excel Studio</t>
        </is>
      </c>
      <c r="E103" s="13" t="inlineStr">
        <is>
          <t>Service Advisor</t>
        </is>
      </c>
      <c r="F103" s="13" t="inlineStr">
        <is>
          <t>Excel Export Schema-Compliant Multi-Layer Tamper-Proof Locking</t>
        </is>
      </c>
      <c r="G103" s="13" t="inlineStr">
        <is>
          <t>When SA clicks [Export Official .xlsx] all 7 worksheets automatically inject OpenXML sheetProtection before mergeCells with password DB3E (HonTech2025) and workbookStructure lock; prompts read-only on open</t>
        </is>
      </c>
      <c r="H103" s="14" t="inlineStr">
        <is>
          <t>Pending</t>
        </is>
      </c>
      <c r="I103" s="13" t="inlineStr"/>
    </row>
    <row r="104">
      <c r="A104" s="12" t="inlineStr">
        <is>
          <t>SA-STU-37</t>
        </is>
      </c>
      <c r="B104" s="13" t="inlineStr">
        <is>
          <t>SA 2025 RO Studio</t>
        </is>
      </c>
      <c r="C104" s="13" t="inlineStr">
        <is>
          <t>Tier 2 (Workflow &amp; Ergonomics)</t>
        </is>
      </c>
      <c r="D104" s="13" t="inlineStr">
        <is>
          <t>2025 RO Excel Studio</t>
        </is>
      </c>
      <c r="E104" s="13" t="inlineStr">
        <is>
          <t>Service Advisor</t>
        </is>
      </c>
      <c r="F104" s="13" t="inlineStr">
        <is>
          <t>Studio Layout Alignment &amp; Edge Responsiveness Polish at 100% Zoom</t>
        </is>
      </c>
      <c r="G104" s="13" t="inlineStr">
        <is>
          <t>Standardizes 3-column input matrix in Workshop Monitoring card with uniform h-5 label baselines; removes whitespace-nowrap from Arrival Time label preventing column collision; wraps top tab bar action buttons with adaptive text on 100% zoom</t>
        </is>
      </c>
      <c r="H104" s="14" t="inlineStr">
        <is>
          <t>Pending</t>
        </is>
      </c>
      <c r="I104" s="13" t="inlineStr"/>
    </row>
    <row r="105">
      <c r="A105" s="12" t="inlineStr">
        <is>
          <t>SA-STU-38</t>
        </is>
      </c>
      <c r="B105" s="13" t="inlineStr">
        <is>
          <t>SA 2025 RO Studio</t>
        </is>
      </c>
      <c r="C105" s="13" t="inlineStr">
        <is>
          <t>Tier 2 (Workflow &amp; Ergonomics)</t>
        </is>
      </c>
      <c r="D105" s="13" t="inlineStr">
        <is>
          <t>2025 RO Excel Studio (All Sheets)</t>
        </is>
      </c>
      <c r="E105" s="13" t="inlineStr">
        <is>
          <t>Service Advisor</t>
        </is>
      </c>
      <c r="F105" s="13" t="inlineStr">
        <is>
          <t>Unified 7/5 Column Ergonomic Split 2-Column Monitoring Grid &amp; Floating Bottom Bar Removal</t>
        </is>
      </c>
      <c r="G105" s="13" t="inlineStr">
        <is>
          <t>Upgrades all 4 worksheets to 7/5 column split giving ~650px to editor; reorganizes Workshop Monitoring card into 2-column grid ensuring full option visibility without text clipping; permanently removes redundant sticky bottom sheet bar; adds top bar preview toggle</t>
        </is>
      </c>
      <c r="H105" s="14" t="inlineStr">
        <is>
          <t>Pending</t>
        </is>
      </c>
      <c r="I105" s="13" t="inlineStr"/>
    </row>
    <row r="106">
      <c r="A106" s="12" t="inlineStr">
        <is>
          <t>SA-STU-39</t>
        </is>
      </c>
      <c r="B106" s="13" t="inlineStr">
        <is>
          <t>SA 2025 RO Studio</t>
        </is>
      </c>
      <c r="C106" s="13" t="inlineStr">
        <is>
          <t>Tier 2 (Workflow &amp; Ergonomics)</t>
        </is>
      </c>
      <c r="D106" s="13" t="inlineStr">
        <is>
          <t>2025 RO Excel Studio (Form 1/3)</t>
        </is>
      </c>
      <c r="E106" s="13" t="inlineStr">
        <is>
          <t>Service Advisor</t>
        </is>
      </c>
      <c r="F106" s="13" t="inlineStr">
        <is>
          <t>Form 1/3 Floating Sticky Bar Removal &amp; Action Consolidation</t>
        </is>
      </c>
      <c r="G106" s="13" t="inlineStr">
        <is>
          <t>Permanently removes floating sticky bottom-14 action toolbar; places Print Form 1/3 in top tab bar and PDF preview header; wires Reset Form into Form 1/3 header card</t>
        </is>
      </c>
      <c r="H106" s="14" t="inlineStr">
        <is>
          <t>Pending</t>
        </is>
      </c>
      <c r="I106" s="13" t="inlineStr"/>
    </row>
    <row r="107">
      <c r="A107" s="12" t="inlineStr">
        <is>
          <t>SA-STU-40</t>
        </is>
      </c>
      <c r="B107" s="13" t="inlineStr">
        <is>
          <t>SA 2025 RO Studio</t>
        </is>
      </c>
      <c r="C107" s="13" t="inlineStr">
        <is>
          <t>Tier 1 (Core Reliability &amp; Data Integrity)</t>
        </is>
      </c>
      <c r="D107" s="13" t="inlineStr">
        <is>
          <t>2025 RO Excel Studio</t>
        </is>
      </c>
      <c r="E107" s="13" t="inlineStr">
        <is>
          <t>Service Advisor</t>
        </is>
      </c>
      <c r="F107" s="13" t="inlineStr">
        <is>
          <t>Live Form 1/3 Typing-to-PDF Connection &amp; Full Multi-Sheet Excel Injection</t>
        </is>
      </c>
      <c r="G107" s="13" t="inlineStr">
        <is>
          <t>Typing in Form 1/3 inputs (Customer Name Plate Model Concern etc.) automatically recompiles and renders live PDF preview on the right within 350ms with zero typing lag; Excel export injects comprehensive live data across all 7 sheets including subtotals grand totals claim stub and 15 inspection points</t>
        </is>
      </c>
      <c r="H107" s="14" t="inlineStr">
        <is>
          <t>Pending</t>
        </is>
      </c>
      <c r="I107" s="13" t="inlineStr"/>
    </row>
    <row r="108">
      <c r="A108" s="12" t="inlineStr">
        <is>
          <t>SA-STU-41</t>
        </is>
      </c>
      <c r="B108" s="13" t="inlineStr">
        <is>
          <t>SA 2025 RO Studio</t>
        </is>
      </c>
      <c r="C108" s="13" t="inlineStr">
        <is>
          <t>Tier 1 (Core Reliability &amp; Data Integrity)</t>
        </is>
      </c>
      <c r="D108" s="13" t="inlineStr">
        <is>
          <t>2025 RO Excel Studio</t>
        </is>
      </c>
      <c r="E108" s="13" t="inlineStr">
        <is>
          <t>Service Advisor</t>
        </is>
      </c>
      <c r="F108" s="13" t="inlineStr">
        <is>
          <t>Precise Excel Cell Coordinates &amp; Multi-Column Pricing Export Across All Sheets</t>
        </is>
      </c>
      <c r="G108" s="13" t="inlineStr">
        <is>
          <t>When SA clicks [Export Official .xlsx] all 7 worksheets accurately populate without blank signatures or zeroed columns: Job_Order maps signatures to Row 53 (Mechanic/Parts Assessor) Row 58 (SA Recommending Approval &amp; Chief Mechanic Approved by) Row 61 (Customer Conforme &amp; GM Concurred by) and Rows 70-72 (Claim Stub Customer Vehicle SA Date ID); Quotation_No &amp; Billing_No inject items across Column A (Desc) C (Qty) D (FRT) E (Labor) F (Parts) G (Materials) and H (Total Amount) properly computing totals; CheckList_Result writes date to cell M5 without overwriting L5 label</t>
        </is>
      </c>
      <c r="H108" s="14" t="inlineStr">
        <is>
          <t>Pending</t>
        </is>
      </c>
      <c r="I108" s="13" t="inlineStr"/>
    </row>
    <row r="109">
      <c r="A109" s="12" t="inlineStr">
        <is>
          <t>SA-STU-42</t>
        </is>
      </c>
      <c r="B109" s="13" t="inlineStr">
        <is>
          <t>SA 2025 RO Studio</t>
        </is>
      </c>
      <c r="C109" s="13" t="inlineStr">
        <is>
          <t>Tier 1 (Core Reliability &amp; Data Integrity)</t>
        </is>
      </c>
      <c r="D109" s="13" t="inlineStr">
        <is>
          <t>2025 RO Excel Studio</t>
        </is>
      </c>
      <c r="E109" s="13" t="inlineStr">
        <is>
          <t>Service Advisor</t>
        </is>
      </c>
      <c r="F109" s="13" t="inlineStr">
        <is>
          <t>Multi-Sheet Quotation (Sheets 2-4) &amp; Billing (Sheets 5-6) Auto-Sync Export Mirroring</t>
        </is>
      </c>
      <c r="G109" s="13" t="inlineStr">
        <is>
          <t>When SA clicks [Export Official .xlsx] all 3 Quotation copies (Quotation_No 1-3) and both Billing copies (Billing_No 1-2) automatically populate with mirrored repair order items (Desc Qty FRT Labor Parts Materials Total Amount) across rows 15-44 (Quotation) and rows 17-52 (Billing); header dossier and authentic signatures populate across all sheets; dummy item initializers are purged preventing stale data shadowing</t>
        </is>
      </c>
      <c r="H109" s="14" t="inlineStr">
        <is>
          <t>Pending</t>
        </is>
      </c>
      <c r="I109" s="13" t="inlineStr"/>
    </row>
    <row r="110">
      <c r="A110" s="12" t="inlineStr">
        <is>
          <t>SA-STU-43</t>
        </is>
      </c>
      <c r="B110" s="13" t="inlineStr">
        <is>
          <t>SA 2025 RO Studio</t>
        </is>
      </c>
      <c r="C110" s="13" t="inlineStr">
        <is>
          <t>Tier 1 (Core Reliability &amp; Data Integrity)</t>
        </is>
      </c>
      <c r="D110" s="13" t="inlineStr">
        <is>
          <t>2025 RO Excel Studio</t>
        </is>
      </c>
      <c r="E110" s="13" t="inlineStr">
        <is>
          <t>Service Advisor</t>
        </is>
      </c>
      <c r="F110" s="13" t="inlineStr">
        <is>
          <t>Live Studio Cross-Sheet Typing PDF Sync &amp; Exact Coordinates 7-Sheet XLSX Export</t>
        </is>
      </c>
      <c r="G110" s="13" t="inlineStr">
        <is>
          <t>Typing in Job Order automatically cascades customer vehicle dossier and line items to Quotation and Billing with confirmed 0.00 labor default; right-column PDF format previews render live updates within 350ms across all sheets with green live sync badges; exact coordinates and plain text signatures align across Quotation Billing and Checklist; [Export Official .xlsx] injects natural data across all 7 sheets with OpenXML tamper protection</t>
        </is>
      </c>
      <c r="H110" s="14" t="inlineStr">
        <is>
          <t>Passed</t>
        </is>
      </c>
      <c r="I110" s="13" t="inlineStr">
        <is>
          <t>Verified by User 2026-09-21</t>
        </is>
      </c>
    </row>
    <row r="111">
      <c r="A111" s="12" t="inlineStr">
        <is>
          <t>SA-STU-44</t>
        </is>
      </c>
      <c r="B111" s="13" t="inlineStr">
        <is>
          <t>SA 2025 RO Studio</t>
        </is>
      </c>
      <c r="C111" s="13" t="inlineStr">
        <is>
          <t>Tier 1 (Core Reliability &amp; Data Integrity)</t>
        </is>
      </c>
      <c r="D111" s="13" t="inlineStr">
        <is>
          <t>2025 RO Excel Studio</t>
        </is>
      </c>
      <c r="E111" s="13" t="inlineStr">
        <is>
          <t>Service Advisor</t>
        </is>
      </c>
      <c r="F111" s="13" t="inlineStr">
        <is>
          <t>Hoisted Personnel Scoping in Multi-Sheet XLSX Export</t>
        </is>
      </c>
      <c r="G111" s="13" t="inlineStr">
        <is>
          <t>Clicking [Export Official .xlsx] successfully exports the full 7-sheet workbook without runtime ReferenceError: manager is not defined; ensures manager mechanic and assessor signatures properly populate across Job_Order and Quotation worksheets</t>
        </is>
      </c>
      <c r="H111" s="14" t="inlineStr">
        <is>
          <t>Passed</t>
        </is>
      </c>
      <c r="I111" s="13" t="inlineStr">
        <is>
          <t>Verified by User 2026-09-21</t>
        </is>
      </c>
    </row>
    <row r="112">
      <c r="A112" s="12" t="inlineStr">
        <is>
          <t>SA-STU-45</t>
        </is>
      </c>
      <c r="B112" s="13" t="inlineStr">
        <is>
          <t>SA 2025 RO Studio</t>
        </is>
      </c>
      <c r="C112" s="13" t="inlineStr">
        <is>
          <t>Tier 2 (Workflow &amp; Ergonomics)</t>
        </is>
      </c>
      <c r="D112" s="13" t="inlineStr">
        <is>
          <t>2025 RO Excel Studio (All Sheets)</t>
        </is>
      </c>
      <c r="E112" s="13" t="inlineStr">
        <is>
          <t>Service Advisor</t>
        </is>
      </c>
      <c r="F112" s="13" t="inlineStr">
        <is>
          <t>Follow-Along Sticky PDF Preview &amp; Viewport Height Across All Sheets</t>
        </is>
      </c>
      <c r="G112" s="13" t="inlineStr">
        <is>
          <t>Scrolling down through lengthy form inputs (Customer Details Diagnostics Scope Parts/Materials Signatures) smoothly follows the right-side PDF preview using sticky top-14 self-start positioning with adaptive h-[calc(100vh-8.5rem)] container height across Job_Order Quotation_No Billing_No and CheckList_Result worksheets</t>
        </is>
      </c>
      <c r="H112" s="14" t="inlineStr">
        <is>
          <t>Pending</t>
        </is>
      </c>
      <c r="I112" s="13" t="inlineStr"/>
    </row>
    <row r="113">
      <c r="A113" s="12" t="inlineStr">
        <is>
          <t>SA-STU-46</t>
        </is>
      </c>
      <c r="B113" s="13" t="inlineStr">
        <is>
          <t>SA 2025 RO Studio</t>
        </is>
      </c>
      <c r="C113" s="13" t="inlineStr">
        <is>
          <t>Tier 1 (Core Reliability &amp; Data Integrity)</t>
        </is>
      </c>
      <c r="D113" s="13" t="inlineStr">
        <is>
          <t>2025 RO Excel Studio (All Sheets)</t>
        </is>
      </c>
      <c r="E113" s="13" t="inlineStr">
        <is>
          <t>Service Advisor</t>
        </is>
      </c>
      <c r="F113" s="13" t="inlineStr">
        <is>
          <t>Authentic Excel Typography &amp; Non-Bold Formatting Alignment in Live PDF Preview</t>
        </is>
      </c>
      <c r="G113" s="13" t="inlineStr">
        <is>
          <t>Renders customer dossier vehicle details line items subtotals and staff signatures in clean regular non-bold font matching Excel template cells (bold=False); preserves bold emphasis on Grand Totals and Row 14 banner for audit clarity across Job_Order Quotation_No Billing_No and CheckList_Result PDF previews</t>
        </is>
      </c>
      <c r="H113" s="14" t="inlineStr">
        <is>
          <t>Pending</t>
        </is>
      </c>
      <c r="I113" s="13" t="inlineStr"/>
    </row>
    <row r="114">
      <c r="A114" s="12" t="inlineStr">
        <is>
          <t>SA-STU-47</t>
        </is>
      </c>
      <c r="B114" s="13" t="inlineStr">
        <is>
          <t>SA 2025 RO Studio</t>
        </is>
      </c>
      <c r="C114" s="13" t="inlineStr">
        <is>
          <t>Tier 1 (Core Reliability &amp; Data Integrity)</t>
        </is>
      </c>
      <c r="D114" s="13" t="inlineStr">
        <is>
          <t>2025 RO Excel Studio</t>
        </is>
      </c>
      <c r="E114" s="13" t="inlineStr">
        <is>
          <t>Service Advisor</t>
        </is>
      </c>
      <c r="F114" s="13" t="inlineStr">
        <is>
          <t>Migration to Current_2025 BLANK RO UPDATED_V1.xlsx Official Export Template</t>
        </is>
      </c>
      <c r="G114" s="13" t="inlineStr">
        <is>
          <t>When clicking [Export Official .xlsx] system loads pristine Current_2025 BLANK RO UPDATED_V1.xlsx; injects data across all 7 sheets; preserves Sheet 7 dynamic formulas (C2 AD2 C3 C4 M63) and applies OpenXML tamper protection</t>
        </is>
      </c>
      <c r="H114" s="14" t="inlineStr">
        <is>
          <t>Pending</t>
        </is>
      </c>
      <c r="I114" s="13" t="inlineStr"/>
    </row>
    <row r="115">
      <c r="A115" s="12" t="inlineStr">
        <is>
          <t>SA-STU-48</t>
        </is>
      </c>
      <c r="B115" s="13" t="inlineStr">
        <is>
          <t>SA 2025 RO Studio</t>
        </is>
      </c>
      <c r="C115" s="13" t="inlineStr">
        <is>
          <t>Tier 1 (Core Reliability &amp; Data Integrity)</t>
        </is>
      </c>
      <c r="D115" s="13" t="inlineStr">
        <is>
          <t>2025 RO Excel Studio (CheckList_Result)</t>
        </is>
      </c>
      <c r="E115" s="13" t="inlineStr">
        <is>
          <t>Service Advisor</t>
        </is>
      </c>
      <c r="F115" s="13" t="inlineStr">
        <is>
          <t>Multi-Point Receiving Checklist Color Status Stamping &amp; Studio Controls</t>
        </is>
      </c>
      <c r="G115" s="13" t="inlineStr">
        <is>
          <t>When SA marks inspection checkpoints as Good Attention or Defect in the Checklist Studio clicking [Export Official .xlsx] stamps centered checkmarks ✓ into the corresponding green (#2FB044) yellow (#FFED00) or red (#EE1C25) status indicator cells in Sheet 7; stamps selected fuel gauge in Row 4; injects SA technician name into C63 and comments into B53; provides rapid one-click [✓ All Good] and [Reset] studio batch buttons</t>
        </is>
      </c>
      <c r="H115" s="14" t="inlineStr">
        <is>
          <t>Passed</t>
        </is>
      </c>
      <c r="I115" s="13" t="inlineStr">
        <is>
          <t>Verified by Automated Unit Tests (AUT-FRONT-96)</t>
        </is>
      </c>
    </row>
    <row r="116">
      <c r="A116" s="12" t="inlineStr">
        <is>
          <t>SA-STU-49</t>
        </is>
      </c>
      <c r="B116" s="13" t="inlineStr">
        <is>
          <t>SA 2025 RO Studio</t>
        </is>
      </c>
      <c r="C116" s="13" t="inlineStr">
        <is>
          <t>Tier 1 (Core Reliability &amp; Data Integrity)</t>
        </is>
      </c>
      <c r="D116" s="13" t="inlineStr">
        <is>
          <t>2025 RO Excel Studio (CheckList_Result)</t>
        </is>
      </c>
      <c r="E116" s="13" t="inlineStr">
        <is>
          <t>Service Advisor</t>
        </is>
      </c>
      <c r="F116" s="13" t="inlineStr">
        <is>
          <t>Checklist Completeness &amp; Color Box Stamping for Interior Light Hydraulic Clutch Drive Shaft &amp; Brakes Not Inspected</t>
        </is>
      </c>
      <c r="G116" s="13" t="inlineStr">
        <is>
          <t>When SA marks interior lights (Row 11: I11/J11/K11) hydraulic clutch fluid (Row 44: I44/J44/K44) drive shaft boots (Row 50: I50/J50/K50) or toggles Brakes not inspected on this visit (Row 37: M37) exportOfficialXLSX accurately stamps checkmarks into each item's color status box and updates M37 with [✓] Brakes not inspected on this visit; also maps parking brake (Row 16) horn operation (Row 18) clutch operation (Row 20) air filter (Row 40) and fluid leaks (Row 49)</t>
        </is>
      </c>
      <c r="H116" s="14" t="inlineStr">
        <is>
          <t>Passed</t>
        </is>
      </c>
      <c r="I116" s="13" t="inlineStr">
        <is>
          <t>Verified by Automated Unit Tests (AUT-FRONT-97)</t>
        </is>
      </c>
    </row>
    <row r="117">
      <c r="A117" s="12" t="inlineStr">
        <is>
          <t>SA-STU-50</t>
        </is>
      </c>
      <c r="B117" s="13" t="inlineStr">
        <is>
          <t>SA 2025 RO Studio</t>
        </is>
      </c>
      <c r="C117" s="13" t="inlineStr">
        <is>
          <t>Tier 1 (Core Reliability &amp; Data Integrity)</t>
        </is>
      </c>
      <c r="D117" s="13" t="inlineStr">
        <is>
          <t>2025 RO Excel Studio (Quotation_No &amp; Billing_No)</t>
        </is>
      </c>
      <c r="E117" s="13" t="inlineStr">
        <is>
          <t>Service Advisor</t>
        </is>
      </c>
      <c r="F117" s="13" t="inlineStr">
        <is>
          <t>Quotation &amp; Billing Form Table Alignment &amp; Dynamic PDF Compiler Verification</t>
        </is>
      </c>
      <c r="G117" s="13" t="inlineStr">
        <is>
          <t>When SA opens Quotation_No or Billing_No Studio line items render seamlessly with 6-column matrix (# Description Qty Price Total Remove); typing numbers instantly re-sums subtotals VAT and grand total in summary cards; live PDF format previews recompile without runtime ReferenceErrors using drawTextCenter and localized whiteout masking over template 0.00 placeholders with exact coordinates</t>
        </is>
      </c>
      <c r="H117" s="14" t="inlineStr">
        <is>
          <t>Passed</t>
        </is>
      </c>
      <c r="I117" s="13" t="inlineStr">
        <is>
          <t>Verified by Automated Unit Tests (AUT-FRONT-98)</t>
        </is>
      </c>
    </row>
    <row r="118">
      <c r="A118" s="12" t="inlineStr">
        <is>
          <t>SA-STU-51</t>
        </is>
      </c>
      <c r="B118" s="13" t="inlineStr">
        <is>
          <t>SA 2025 RO Studio</t>
        </is>
      </c>
      <c r="C118" s="13" t="inlineStr">
        <is>
          <t>Tier 2 (Workflow &amp; Ergonomics)</t>
        </is>
      </c>
      <c r="D118" s="13" t="inlineStr">
        <is>
          <t>2025 RO Excel Studio (All Sheets)</t>
        </is>
      </c>
      <c r="E118" s="13" t="inlineStr">
        <is>
          <t>Service Advisor</t>
        </is>
      </c>
      <c r="F118" s="13" t="inlineStr">
        <is>
          <t>Senior SA Adaptive Auto-Magnifier &amp; Real-Time Document Section Gliding</t>
        </is>
      </c>
      <c r="G118" s="13" t="inlineStr">
        <is>
          <t>When SA types into form inputs (Name Plate Scope Claim Stub) preview automatically glides and magnifies (185% zoom) directly over that specific section of the document with instantaneous Loupe HUD updates; supports toggle [Auto-Magnify ON/OFF] and manual zoom presets (Fit / 185% / 225%)</t>
        </is>
      </c>
      <c r="H118" s="14" t="inlineStr">
        <is>
          <t>Passed</t>
        </is>
      </c>
      <c r="I118" s="13" t="inlineStr">
        <is>
          <t>Verified by Automated Unit Tests (AUT-FRONT-99)</t>
        </is>
      </c>
    </row>
    <row r="119">
      <c r="A119" s="12" t="inlineStr">
        <is>
          <t>SA-STU-52</t>
        </is>
      </c>
      <c r="B119" s="13" t="inlineStr">
        <is>
          <t>SA 2025 RO Studio</t>
        </is>
      </c>
      <c r="C119" s="13" t="inlineStr">
        <is>
          <t>Tier 2 (Workflow &amp; Ergonomics)</t>
        </is>
      </c>
      <c r="D119" s="13" t="inlineStr">
        <is>
          <t>2025 RO Excel Studio (All Sheets)</t>
        </is>
      </c>
      <c r="E119" s="13" t="inlineStr">
        <is>
          <t>Service Advisor</t>
        </is>
      </c>
      <c r="F119" s="13" t="inlineStr">
        <is>
          <t>Senior SA 5-Second Timed Auto-Magnifier Rule &amp; Stutter-Free Typing Debounce</t>
        </is>
      </c>
      <c r="G119" s="13" t="inlineStr">
        <is>
          <t>When SA types into any field preview instantly magnifies wider directly on the field with immediate live text reflection in Loupe HUD; suppresses mid-typing PDF iframe reload restarts by holding 5000ms debounce; automatically glides back to normal view (Fit 100%) after 5 seconds of inactivity</t>
        </is>
      </c>
      <c r="H119" s="14" t="inlineStr">
        <is>
          <t>Passed</t>
        </is>
      </c>
      <c r="I119" s="13" t="inlineStr">
        <is>
          <t>Verified by Automated Unit Tests (AUT-FRONT-99)</t>
        </is>
      </c>
    </row>
    <row r="120">
      <c r="A120" s="12" t="inlineStr">
        <is>
          <t>SA-STU-53</t>
        </is>
      </c>
      <c r="B120" s="13" t="inlineStr">
        <is>
          <t>SA 2025 RO Studio</t>
        </is>
      </c>
      <c r="C120" s="13" t="inlineStr">
        <is>
          <t>Tier 2 (Workflow &amp; Ergonomics)</t>
        </is>
      </c>
      <c r="D120" s="13" t="inlineStr">
        <is>
          <t>2025 RO Excel Studio (All Sheets)</t>
        </is>
      </c>
      <c r="E120" s="13" t="inlineStr">
        <is>
          <t>Service Advisor</t>
        </is>
      </c>
      <c r="F120" s="13" t="inlineStr">
        <is>
          <t>Pure Follow-Along Auto-Magnifier &amp; Clean Document Real-Time Typing Sync</t>
        </is>
      </c>
      <c r="G120" s="13" t="inlineStr">
        <is>
          <t>When SA focuses or types into form inputs right-side PDF preview smoothly glides and magnifies onto the active document zone (Customer Details Scope Claim Stub Diagnostics) and stays locked on it without any 5-second auto-reset timer; floating black Loupe HUD badge is permanently suppressed across all 4 sheet views keeping preview 100% clean and unobstructed; PDF debounces smoothly to reflect typed data directly on the document</t>
        </is>
      </c>
      <c r="H120" s="14" t="inlineStr">
        <is>
          <t>Passed</t>
        </is>
      </c>
      <c r="I120" s="13" t="inlineStr">
        <is>
          <t>Verified by Automated Unit Tests (AUT-FRONT-99)</t>
        </is>
      </c>
    </row>
    <row r="121">
      <c r="A121" s="12" t="inlineStr">
        <is>
          <t>SA-STU-54</t>
        </is>
      </c>
      <c r="B121" s="13" t="inlineStr">
        <is>
          <t>SA 2025 RO Studio</t>
        </is>
      </c>
      <c r="C121" s="13" t="inlineStr">
        <is>
          <t>Tier 1 (Core Reliability &amp; Data Integrity)</t>
        </is>
      </c>
      <c r="D121" s="13" t="inlineStr">
        <is>
          <t>2025 RO Excel Studio (All Sheets)</t>
        </is>
      </c>
      <c r="E121" s="13" t="inlineStr">
        <is>
          <t>Service Advisor</t>
        </is>
      </c>
      <c r="F121" s="13" t="inlineStr">
        <is>
          <t>100% Crisp Vector Resolution &amp; Blurriness-Free Live Typing Reflection</t>
        </is>
      </c>
      <c r="G121" s="13" t="inlineStr">
        <is>
          <t>Defaults Auto-Magnify to OFF across all 4 sheet views so document preview maintains 100% sharp native vector resolution (scale 1.0) without GPU pixel-stretching, jumping, or blurriness; typing smoothly updates full document in real time without lag</t>
        </is>
      </c>
      <c r="H121" s="14" t="inlineStr">
        <is>
          <t>Passed</t>
        </is>
      </c>
      <c r="I121" s="13" t="inlineStr">
        <is>
          <t>Verified by Automated Unit Tests (AUT-FRONT-99)</t>
        </is>
      </c>
    </row>
    <row r="122">
      <c r="A122" s="12" t="inlineStr">
        <is>
          <t>SA-STU-55</t>
        </is>
      </c>
      <c r="B122" s="13" t="inlineStr">
        <is>
          <t>SA 2025 RO Studio</t>
        </is>
      </c>
      <c r="C122" s="13" t="inlineStr">
        <is>
          <t>Tier 1 (Core Reliability &amp; Data Integrity)</t>
        </is>
      </c>
      <c r="D122" s="13" t="inlineStr">
        <is>
          <t>2025 RO Excel Studio (All Sheets)</t>
        </is>
      </c>
      <c r="E122" s="13" t="inlineStr">
        <is>
          <t>Service Advisor</t>
        </is>
      </c>
      <c r="F122" s="13" t="inlineStr">
        <is>
          <t>Solution A High-Definition Field Inspector Loupe HUD &amp; Zero-Blur Vector Resolution</t>
        </is>
      </c>
      <c r="G122" s="13" t="inlineStr">
        <is>
          <t>When SA enables Auto-Magnify or focuses/types into any form field a sleek high-definition Loupe Inspector HUD displays the field badge and typed text in real time with 0ms lag and high-contrast typography; the PDF iframe remains fixed at 100% native vector scale (1.0) completely eliminating CSS pixel stretching blurriness and reload jitter; includes instant dismissal toggle and cross-sheet synchronization</t>
        </is>
      </c>
      <c r="H122" s="14" t="inlineStr">
        <is>
          <t>Passed</t>
        </is>
      </c>
      <c r="I122" s="13" t="inlineStr">
        <is>
          <t>Verified by Automated Unit Tests (AUT-FRONT-99) and Headless Browser Verification</t>
        </is>
      </c>
    </row>
    <row r="123">
      <c r="A123" s="12" t="inlineStr">
        <is>
          <t>SA-STU-56</t>
        </is>
      </c>
      <c r="B123" s="13" t="inlineStr">
        <is>
          <t>SA 2025 RO Studio</t>
        </is>
      </c>
      <c r="C123" s="13" t="inlineStr">
        <is>
          <t>Tier 2 (Workflow &amp; Ergonomics)</t>
        </is>
      </c>
      <c r="D123" s="13" t="inlineStr">
        <is>
          <t>2025 RO Excel Studio (All Sheets)</t>
        </is>
      </c>
      <c r="E123" s="13" t="inlineStr">
        <is>
          <t>Service Advisor</t>
        </is>
      </c>
      <c r="F123" s="13" t="inlineStr">
        <is>
          <t>Senior Follow-Along Document Auto-Magnify with Natural Glide-Back &amp; Crisp Contrast Resolution</t>
        </is>
      </c>
      <c r="G123" s="13" t="inlineStr">
        <is>
          <t>When non-techy senior SA types or focuses into any form field the PDF preview automatically and smoothly glides to center on that exact document section with crisp vector contrast; the inserted text appears live directly on the PDF without dark HUD obstruction; after 3.5s of typing inactivity or upon field blur the view smoothly and naturally glides back to 100% Fit view</t>
        </is>
      </c>
      <c r="H123" s="14" t="inlineStr">
        <is>
          <t>Passed</t>
        </is>
      </c>
      <c r="I123" s="13" t="inlineStr">
        <is>
          <t>Verified by Automated Unit Tests (AUT-FRONT-100) and Browser Verification</t>
        </is>
      </c>
    </row>
    <row r="124">
      <c r="A124" s="12" t="inlineStr">
        <is>
          <t>SA-STU-57</t>
        </is>
      </c>
      <c r="B124" s="13" t="inlineStr">
        <is>
          <t>SA 2025 RO Studio</t>
        </is>
      </c>
      <c r="C124" s="13" t="inlineStr">
        <is>
          <t>Tier 1 (Core Reliability &amp; Data Integrity)</t>
        </is>
      </c>
      <c r="D124" s="13" t="inlineStr">
        <is>
          <t>2025 RO Excel Studio (All Sheets)</t>
        </is>
      </c>
      <c r="E124" s="13" t="inlineStr">
        <is>
          <t>Service Advisor</t>
        </is>
      </c>
      <c r="F124" s="13" t="inlineStr">
        <is>
          <t>Option 1 High-Definition Super-Sampling (200% Layout &amp; 0.5 Base Downsample) for Senior SA Studio with Razor-Sharp Crisp Zoom</t>
        </is>
      </c>
      <c r="G124" s="13" t="inlineStr">
        <is>
          <t>PDF preview iframes across all 4 sheets are wrapped in high-definition super-sampling viewports with 200% width/height rendering the PDF natively at ~950px+ resolution; standard view scales down by 0.5 to perfectly fit the viewport container with retina-quality sharpness; follow-along auto-zoom scales to 0.88-0.95 remaining within native vector resolution with zero pixel stretching or blurriness; natural 3.5s inactivity glide-back returns smoothly to 0.5 fit view</t>
        </is>
      </c>
      <c r="H124" s="14" t="inlineStr">
        <is>
          <t>Passed</t>
        </is>
      </c>
      <c r="I124" s="13" t="inlineStr">
        <is>
          <t>Verified by Automated Unit Tests (AUT-FRONT-101) and Headless Browser DevTools</t>
        </is>
      </c>
    </row>
    <row r="125">
      <c r="A125" s="12" t="inlineStr">
        <is>
          <t>SA-STU-58</t>
        </is>
      </c>
      <c r="B125" s="13" t="inlineStr">
        <is>
          <t>SA 2025 RO Studio</t>
        </is>
      </c>
      <c r="C125" s="13" t="inlineStr">
        <is>
          <t>Tier 1 (Core Reliability &amp; Data Integrity)</t>
        </is>
      </c>
      <c r="D125" s="13" t="inlineStr">
        <is>
          <t>2025 RO Excel Studio (All Sheets)</t>
        </is>
      </c>
      <c r="E125" s="13" t="inlineStr">
        <is>
          <t>Service Advisor</t>
        </is>
      </c>
      <c r="F125" s="13" t="inlineStr">
        <is>
          <t>Full-Form Dynamic Follow-Along Auto-Magnifier with Mathematical Camera Centering Across Middle Tables Signatures and Bottom Claim Stub</t>
        </is>
      </c>
      <c r="G125" s="13" t="inlineStr">
        <is>
          <t>When SA focuses or types into any input across all 4 worksheets (Job Order Quotation Billing Checklist) including header dispatch customer dossier diagnostic scope middle parts and materials tables quotation/billing line items calculation totals signatures (SA Mechanic Assessor GM) bottom claim stub and checklist multi-point categories the PDF preview mathematically calculates the exact viewport translation to smoothly glide and center right on that section of the document with retina sharpness (scale 0.88); dynamic table rows automatically delegate focus to the corresponding table area; 3.5s inactivity or blur smoothly glides back naturally to 0.5 fit view</t>
        </is>
      </c>
      <c r="H125" s="14" t="inlineStr">
        <is>
          <t>Passed</t>
        </is>
      </c>
      <c r="I125" s="13" t="inlineStr">
        <is>
          <t>Verified by Automated Unit Tests (AUT-FRONT-102)</t>
        </is>
      </c>
    </row>
    <row r="126">
      <c r="A126" s="12" t="inlineStr">
        <is>
          <t>SA-STU-59</t>
        </is>
      </c>
      <c r="B126" s="13" t="inlineStr">
        <is>
          <t>SA 2025 RO Studio</t>
        </is>
      </c>
      <c r="C126" s="13" t="inlineStr">
        <is>
          <t>Tier 1 (Core Reliability &amp; Data Integrity)</t>
        </is>
      </c>
      <c r="D126" s="13" t="inlineStr">
        <is>
          <t>2025 RO Excel Studio (All Sheets)</t>
        </is>
      </c>
      <c r="E126" s="13" t="inlineStr">
        <is>
          <t>Service Advisor</t>
        </is>
      </c>
      <c r="F126" s="13" t="inlineStr">
        <is>
          <t>Hardcoded Section-Lock Navigation Permanent Document Lock &amp; 1-Click Quick-Lock Navigation Pills</t>
        </is>
      </c>
      <c r="G126" s="13" t="inlineStr">
        <is>
          <t>When SA clicks or focuses into any input or table section the PDF preview mathematically snaps to that calibrated vertical ratio (0.0 for Customer 0.25 for Diagnostics 0.50 for Parts Table 0.85 for Signatures 1.00 for Claim Stub) and stays permanently locked without jumping back after 3.5s; includes 1-click Quick Lock navigation pills ([Fit] [Customer] [Scope] [Parts Table] [Signatures] [Claim Stub]) right above the PDF viewer across all 4 sheet views; [Fit] button immediately returns to full document view (scale 0.5)</t>
        </is>
      </c>
      <c r="H126" s="14" t="inlineStr">
        <is>
          <t>Passed</t>
        </is>
      </c>
      <c r="I126" s="13" t="inlineStr">
        <is>
          <t>Verified by Automated Unit Tests (AUT-FRONT-103)</t>
        </is>
      </c>
    </row>
    <row r="127">
      <c r="A127" s="12" t="inlineStr">
        <is>
          <t>SA-STU-60</t>
        </is>
      </c>
      <c r="B127" s="13" t="inlineStr">
        <is>
          <t>SA 2025 RO Studio</t>
        </is>
      </c>
      <c r="C127" s="13" t="inlineStr">
        <is>
          <t>Tier 1 (Core Reliability &amp; Data Integrity)</t>
        </is>
      </c>
      <c r="D127" s="13" t="inlineStr">
        <is>
          <t>2025 RO Excel Studio (All Sheets)</t>
        </is>
      </c>
      <c r="E127" s="13" t="inlineStr">
        <is>
          <t>Service Advisor</t>
        </is>
      </c>
      <c r="F127" s="13" t="inlineStr">
        <is>
          <t>High-Definition Vector PDF Templates &amp; Senior SA Auto-Magnifier Active Engine</t>
        </is>
      </c>
      <c r="G127" s="13" t="inlineStr">
        <is>
          <t>Eliminates all low-resolution 622px bitmap scans by replacing official PDF templates with authentic vector PDFs exported directly from Current_2025 BLANK RO UPDATED_V1.xlsx; defaults isStudioAutoMagnifierEnabled to true (ON by default) so auto-magnifier operates immediately without manual toggling; enhances mapElementToSectionKey for robust table row and checklist tracking; prevents mid-typing PDF reload flicker via debounced scheduling; all 118 automated tests passing</t>
        </is>
      </c>
      <c r="H127" s="14" t="inlineStr">
        <is>
          <t>Passed</t>
        </is>
      </c>
      <c r="I127" s="13" t="inlineStr">
        <is>
          <t>Verified by Automated Unit Tests (AUT-FRONT-104)</t>
        </is>
      </c>
    </row>
    <row r="128">
      <c r="A128" s="12" t="inlineStr">
        <is>
          <t>AST-61</t>
        </is>
      </c>
      <c r="B128" s="13" t="inlineStr">
        <is>
          <t>Assistant Staff</t>
        </is>
      </c>
      <c r="C128" s="13" t="inlineStr">
        <is>
          <t>Tier 2 (Workflow &amp; Ergonomics)</t>
        </is>
      </c>
      <c r="D128" s="13" t="inlineStr">
        <is>
          <t>Assistant Online Booking Form</t>
        </is>
      </c>
      <c r="E128" s="13" t="inlineStr">
        <is>
          <t>Assistant Staff</t>
        </is>
      </c>
      <c r="F128" s="13" t="inlineStr">
        <is>
          <t>Open the Online Booking Form and toggle between Booking Module and Daily Intakes destinations</t>
        </is>
      </c>
      <c r="G128" s="13" t="inlineStr">
        <is>
          <t>Destination Table Booking Module / Daily Intakes buttons stay a consistent height and do not reflow or wrap across states; Target Branch select Appt Time lane type and Confirmed Booking checkbox all render at matching input height and alignment</t>
        </is>
      </c>
      <c r="H128" s="14" t="inlineStr">
        <is>
          <t>Passed</t>
        </is>
      </c>
      <c r="I128" s="13" t="inlineStr">
        <is>
          <t>Verified by manual UI review and browser screenshot comparison</t>
        </is>
      </c>
    </row>
    <row r="129">
      <c r="A129" s="12" t="inlineStr">
        <is>
          <t>SEC-62</t>
        </is>
      </c>
      <c r="B129" s="13" t="inlineStr">
        <is>
          <t>Security &amp; RBAC</t>
        </is>
      </c>
      <c r="C129" s="13" t="inlineStr">
        <is>
          <t>Tier 1 (Core Reliability &amp; Data Integrity)</t>
        </is>
      </c>
      <c r="D129" s="13" t="inlineStr">
        <is>
          <t>Authentication &amp; Account Recovery</t>
        </is>
      </c>
      <c r="E129" s="13" t="inlineStr">
        <is>
          <t>All Roles</t>
        </is>
      </c>
      <c r="F129" s="13" t="inlineStr">
        <is>
          <t>Submit /api/auth/forgot-password for a registered and an unregistered email then attempt /api/auth/reset-password with a wrong then correct 6-digit code</t>
        </is>
      </c>
      <c r="G129" s="13" t="inlineStr">
        <is>
          <t>API response is identical for registered/unregistered/inactive accounts and never contains the reset code or token; reset requires email+code together; code expires after 15 minutes single-use and locks after 5 wrong attempts; password policy rejects weak passwords</t>
        </is>
      </c>
      <c r="H129" s="14" t="inlineStr">
        <is>
          <t>Passed</t>
        </is>
      </c>
      <c r="I129" s="13" t="inlineStr">
        <is>
          <t>Verified by Automated Unit Tests (tests/security/recovery_and_secrets.test.js) - 6/6 passing</t>
        </is>
      </c>
    </row>
    <row r="130">
      <c r="A130" s="12" t="inlineStr">
        <is>
          <t>SEC-63</t>
        </is>
      </c>
      <c r="B130" s="13" t="inlineStr">
        <is>
          <t>Security &amp; RBAC</t>
        </is>
      </c>
      <c r="C130" s="13" t="inlineStr">
        <is>
          <t>Tier 1 (Core Reliability &amp; Data Integrity)</t>
        </is>
      </c>
      <c r="D130" s="13" t="inlineStr">
        <is>
          <t>Developer Sandbox Routes</t>
        </is>
      </c>
      <c r="E130" s="13" t="inlineStr">
        <is>
          <t>Owner/Admin (Dev only)</t>
        </is>
      </c>
      <c r="F130" s="13" t="inlineStr">
        <is>
          <t>Request /api/auth/developer/emails and /api/auth/developer/reset-seed with APP_ENV=production</t>
        </is>
      </c>
      <c r="G130" s="13" t="inlineStr">
        <is>
          <t>All /api/auth/developer/* routes return 404 Not Found outside development environment</t>
        </is>
      </c>
      <c r="H130" s="14" t="inlineStr">
        <is>
          <t>Passed</t>
        </is>
      </c>
      <c r="I130" s="13" t="inlineStr">
        <is>
          <t>Verified by Automated Unit Tests (tests/security/recovery_and_secrets.test.js)</t>
        </is>
      </c>
    </row>
    <row r="131">
      <c r="A131" s="12" t="inlineStr">
        <is>
          <t>SA-12</t>
        </is>
      </c>
      <c r="B131" s="13" t="inlineStr">
        <is>
          <t>Service Advisor</t>
        </is>
      </c>
      <c r="C131" s="13" t="inlineStr">
        <is>
          <t>Tier 1 (Core Reliability &amp; Data Integrity)</t>
        </is>
      </c>
      <c r="D131" s="13" t="inlineStr">
        <is>
          <t>2025 RO Studio Auto-Magnifier</t>
        </is>
      </c>
      <c r="E131" s="13" t="inlineStr">
        <is>
          <t>Service Advisor</t>
        </is>
      </c>
      <c r="F131" s="13" t="inlineStr">
        <is>
          <t>Click through Customer Diagnostic Parts Table Signatures and Claim Stub quick-lock pills on the Job Order PDF preview</t>
        </is>
      </c>
      <c r="G131" s="13" t="inlineStr">
        <is>
          <t>Preview zooms and pans to each section correctly with no blank/black screen at any section including the lower ones (Signatures Claim Stub)</t>
        </is>
      </c>
      <c r="H131" s="14" t="inlineStr">
        <is>
          <t>Pending</t>
        </is>
      </c>
      <c r="I131" s="13" t="inlineStr">
        <is>
          <t>Fixed in REV-135 - live headless-browser screenshots confirmed all sections render correctly</t>
        </is>
      </c>
    </row>
    <row r="132">
      <c r="A132" s="12" t="inlineStr">
        <is>
          <t>SA-13</t>
        </is>
      </c>
      <c r="B132" s="13" t="inlineStr">
        <is>
          <t>Service Advisor</t>
        </is>
      </c>
      <c r="C132" s="13" t="inlineStr">
        <is>
          <t>Tier 1 (Core Reliability &amp; Data Integrity)</t>
        </is>
      </c>
      <c r="D132" s="13" t="inlineStr">
        <is>
          <t>2025 RO Studio Auto-Magnifier</t>
        </is>
      </c>
      <c r="E132" s="13" t="inlineStr">
        <is>
          <t>Service Advisor</t>
        </is>
      </c>
      <c r="F132" s="13" t="inlineStr">
        <is>
          <t>Type continuously into a Job Order field (e.g. Diagnostic Result) while the preview is zoomed in</t>
        </is>
      </c>
      <c r="G132" s="13" t="inlineStr">
        <is>
          <t>PDF preview stays zoomed/locked the entire time you are typing and does not snap back to normal size until you move to the next field or click away</t>
        </is>
      </c>
      <c r="H132" s="14" t="inlineStr">
        <is>
          <t>Pending</t>
        </is>
      </c>
      <c r="I132" s="13" t="inlineStr">
        <is>
          <t>Fixed in REV-136 - verified live that iframe transform stayed at scale(1.85) across 9 samples during typing</t>
        </is>
      </c>
    </row>
    <row r="133">
      <c r="A133" s="12" t="inlineStr">
        <is>
          <t>SA-14</t>
        </is>
      </c>
      <c r="B133" s="13" t="inlineStr">
        <is>
          <t>Service Advisor</t>
        </is>
      </c>
      <c r="C133" s="13" t="inlineStr">
        <is>
          <t>Tier 1 (Core Reliability &amp; Data Integrity)</t>
        </is>
      </c>
      <c r="D133" s="13" t="inlineStr">
        <is>
          <t>Job Order PDF Compiler</t>
        </is>
      </c>
      <c r="E133" s="13" t="inlineStr">
        <is>
          <t>Service Advisor</t>
        </is>
      </c>
      <c r="F133" s="13" t="inlineStr">
        <is>
          <t>Fill in Name Address Contact Email Plate Model KM Engine and generate the Job Order PDF</t>
        </is>
      </c>
      <c r="G133" s="13" t="inlineStr">
        <is>
          <t>Each value appears on its own correct label line with no value floating above the Name row and no doubled 0.00 or signature text</t>
        </is>
      </c>
      <c r="H133" s="14" t="inlineStr">
        <is>
          <t>Pending</t>
        </is>
      </c>
      <c r="I133" s="13" t="inlineStr">
        <is>
          <t>Fixed in REV-137 - verified via direct PDF content-stream extraction</t>
        </is>
      </c>
    </row>
    <row r="134">
      <c r="A134" s="12" t="inlineStr">
        <is>
          <t>SA-15</t>
        </is>
      </c>
      <c r="B134" s="13" t="inlineStr">
        <is>
          <t>Service Advisor</t>
        </is>
      </c>
      <c r="C134" s="13" t="inlineStr">
        <is>
          <t>Tier 1 (Core Reliability &amp; Data Integrity)</t>
        </is>
      </c>
      <c r="D134" s="13" t="inlineStr">
        <is>
          <t>2025 RO Studio PDF Preview</t>
        </is>
      </c>
      <c r="E134" s="13" t="inlineStr">
        <is>
          <t>Service Advisor</t>
        </is>
      </c>
      <c r="F134" s="13" t="inlineStr">
        <is>
          <t>Click Full PDF on each of the 4 sheet tabs (Job Order Quotation Billing Checklist)</t>
        </is>
      </c>
      <c r="G134" s="13" t="inlineStr">
        <is>
          <t>A fullscreen modal opens showing the live filled-in document (not a blank template) with working Download PDF button</t>
        </is>
      </c>
      <c r="H134" s="14" t="inlineStr">
        <is>
          <t>Pending</t>
        </is>
      </c>
      <c r="I134" s="13" t="inlineStr">
        <is>
          <t>Fixed in REV-138 - verified live that all 4 modals load real blob PDFs</t>
        </is>
      </c>
    </row>
    <row r="135">
      <c r="A135" s="12" t="inlineStr">
        <is>
          <t>SEC-64</t>
        </is>
      </c>
      <c r="B135" s="13" t="inlineStr">
        <is>
          <t>Security &amp; RBAC</t>
        </is>
      </c>
      <c r="C135" s="13" t="inlineStr">
        <is>
          <t>Tier 1 (Core Reliability &amp; Data Integrity)</t>
        </is>
      </c>
      <c r="D135" s="13" t="inlineStr">
        <is>
          <t>Branch Data Isolation</t>
        </is>
      </c>
      <c r="E135" s="13" t="inlineStr">
        <is>
          <t>Admin</t>
        </is>
      </c>
      <c r="F135" s="13" t="inlineStr">
        <is>
          <t>Log in as an Admin at one branch and request the job list and analytics</t>
        </is>
      </c>
      <c r="G135" s="13" t="inlineStr">
        <is>
          <t>Only that branch's jobs and analytics are visible; attempting to edit or view a job from the other branch is denied</t>
        </is>
      </c>
      <c r="H135" s="14" t="inlineStr">
        <is>
          <t>Pending</t>
        </is>
      </c>
      <c r="I135" s="13" t="inlineStr">
        <is>
          <t>Fixed in REV-139 - verified via curl that Marikina/East admins each see only their own branch and get 403 on cross-branch job mutation</t>
        </is>
      </c>
    </row>
    <row r="136">
      <c r="A136" s="12" t="inlineStr">
        <is>
          <t>SEC-65</t>
        </is>
      </c>
      <c r="B136" s="13" t="inlineStr">
        <is>
          <t>Security &amp; RBAC</t>
        </is>
      </c>
      <c r="C136" s="13" t="inlineStr">
        <is>
          <t>Tier 1 (Core Reliability &amp; Data Integrity)</t>
        </is>
      </c>
      <c r="D136" s="13" t="inlineStr">
        <is>
          <t>Workshop Bay Module</t>
        </is>
      </c>
      <c r="E136" s="13" t="inlineStr">
        <is>
          <t>Owner</t>
        </is>
      </c>
      <c r="F136" s="13" t="inlineStr">
        <is>
          <t>Log in as Owner and attempt to open Bay Status from the nav or call the bay settings API directly</t>
        </is>
      </c>
      <c r="G136" s="13" t="inlineStr">
        <is>
          <t>Bay Status does not appear in Owner's navigation and any direct API call to /api/bays/settings* is rejected with 403</t>
        </is>
      </c>
      <c r="H136" s="14" t="inlineStr">
        <is>
          <t>Pending</t>
        </is>
      </c>
      <c r="I136" s="13" t="inlineStr">
        <is>
          <t>Fixed in REV-139 - verified live nav has no Workshop Bays button and curl confirms 403 on all 3 bay endpoints</t>
        </is>
      </c>
    </row>
    <row r="137">
      <c r="A137" s="12" t="inlineStr">
        <is>
          <t>SEC-66</t>
        </is>
      </c>
      <c r="B137" s="13" t="inlineStr">
        <is>
          <t>Security &amp; RBAC</t>
        </is>
      </c>
      <c r="C137" s="13" t="inlineStr">
        <is>
          <t>Tier 1 (Core Reliability &amp; Data Integrity)</t>
        </is>
      </c>
      <c r="D137" s="13" t="inlineStr">
        <is>
          <t>Customer Lookup Access</t>
        </is>
      </c>
      <c r="E137" s="13" t="inlineStr">
        <is>
          <t>Admin/Assistant/Owner</t>
        </is>
      </c>
      <c r="F137" s="13" t="inlineStr">
        <is>
          <t>Log in as Admin Assistant or Owner and attempt to open Customer Lookup from the nav or console</t>
        </is>
      </c>
      <c r="G137" s="13" t="inlineStr">
        <is>
          <t>Customer Lookup does not appear in the navigation for these 3 roles and calling showSection('lookup') directly redirects away with a Permission Denied toast</t>
        </is>
      </c>
      <c r="H137" s="14" t="inlineStr">
        <is>
          <t>Pending</t>
        </is>
      </c>
      <c r="I137" s="13" t="inlineStr">
        <is>
          <t>Fixed in REV-139 - verified live that only SA retains Customer Lookup access</t>
        </is>
      </c>
    </row>
    <row r="138">
      <c r="A138" s="12" t="inlineStr">
        <is>
          <t>TV-08</t>
        </is>
      </c>
      <c r="B138" s="13" t="inlineStr">
        <is>
          <t>TV Monitor</t>
        </is>
      </c>
      <c r="C138" s="13" t="inlineStr">
        <is>
          <t>Tier 2 (Workflow &amp; Ergonomics)</t>
        </is>
      </c>
      <c r="D138" s="13" t="inlineStr">
        <is>
          <t>TV Monitor Access</t>
        </is>
      </c>
      <c r="E138" s="13" t="inlineStr">
        <is>
          <t>Owner/Admin</t>
        </is>
      </c>
      <c r="F138" s="13" t="inlineStr">
        <is>
          <t>Log in as Owner or Admin and attempt to open TV Monitor from the nav or console</t>
        </is>
      </c>
      <c r="G138" s="13" t="inlineStr">
        <is>
          <t>TV Monitor does not appear in the navigation for Owner/Admin and calling openTVBroadcastHubModal() directly is blocked with a Permission Denied toast</t>
        </is>
      </c>
      <c r="H138" s="14" t="inlineStr">
        <is>
          <t>Pending</t>
        </is>
      </c>
      <c r="I138" s="13" t="inlineStr">
        <is>
          <t>Fixed in REV-139 - verified live that only SA and Assistant retain TV Monitor access</t>
        </is>
      </c>
    </row>
    <row r="139">
      <c r="A139" s="12" t="inlineStr">
        <is>
          <t>OWN-09</t>
        </is>
      </c>
      <c r="B139" s="13" t="inlineStr">
        <is>
          <t>Owner / Analytics</t>
        </is>
      </c>
      <c r="C139" s="13" t="inlineStr">
        <is>
          <t>Tier 2 (Workflow &amp; Ergonomics)</t>
        </is>
      </c>
      <c r="D139" s="13" t="inlineStr">
        <is>
          <t>Workshop Bay Ceiling Configuration</t>
        </is>
      </c>
      <c r="E139" s="13" t="inlineStr">
        <is>
          <t>Admin</t>
        </is>
      </c>
      <c r="F139" s="13" t="inlineStr">
        <is>
          <t>Set the branch bay ceiling to a new number in Workshop Bays settings then log in as a Service Advisor at the same branch on a different device/browser</t>
        </is>
      </c>
      <c r="G139" s="13" t="inlineStr">
        <is>
          <t>The Service Advisor's bay-count selector is capped at the Admin's newly configured ceiling for that branch even on a fresh device/session</t>
        </is>
      </c>
      <c r="H139" s="14" t="inlineStr">
        <is>
          <t>Pending</t>
        </is>
      </c>
      <c r="I139" s="13" t="inlineStr">
        <is>
          <t>Fixed in REV-139 - bay ceiling now persisted server-side per branch instead of localStorage-only</t>
        </is>
      </c>
    </row>
    <row r="140">
      <c r="A140" s="12" t="inlineStr">
        <is>
          <t>SA-16</t>
        </is>
      </c>
      <c r="B140" s="13" t="inlineStr">
        <is>
          <t>Service Advisor</t>
        </is>
      </c>
      <c r="C140" s="13" t="inlineStr">
        <is>
          <t>Tier 2 (Workflow &amp; Ergonomics)</t>
        </is>
      </c>
      <c r="D140" s="13" t="inlineStr">
        <is>
          <t>2025 RO Studio Maximized PDF &amp; Live New Tab</t>
        </is>
      </c>
      <c r="E140" s="13" t="inlineStr">
        <is>
          <t>Service Advisor</t>
        </is>
      </c>
      <c r="F140" s="13" t="inlineStr">
        <is>
          <t>Click Maximize PDF button in top bar or canvas toolbar and click New Tab button in Full PDF modal</t>
        </is>
      </c>
      <c r="G140" s="13" t="inlineStr">
        <is>
          <t>Left-hand form editor collapses and PDF expands to full 12-column width with high vertical clearance (returns on toggle); New Tab button compiles live in-memory PDF blob with filled customer and vehicle data into a new browser tab with native zoom/print</t>
        </is>
      </c>
      <c r="H140" s="14" t="inlineStr">
        <is>
          <t>Passed</t>
        </is>
      </c>
      <c r="I140" s="13" t="inlineStr">
        <is>
          <t>Verified by Automated Unit Tests (tests/frontend/sla_and_logic.test.js AUT-FRONT-105) and manual UI inspection</t>
        </is>
      </c>
    </row>
    <row r="141">
      <c r="A141" s="12" t="inlineStr">
        <is>
          <t>SA-17</t>
        </is>
      </c>
      <c r="B141" s="13" t="inlineStr">
        <is>
          <t>Service Advisor</t>
        </is>
      </c>
      <c r="C141" s="13" t="inlineStr">
        <is>
          <t>Tier 2 (Workflow &amp; Ergonomics)</t>
        </is>
      </c>
      <c r="D141" s="13" t="inlineStr">
        <is>
          <t>2025 RO Studio Decommission Auto-Magnifier &amp; Steady PDF Preview</t>
        </is>
      </c>
      <c r="E141" s="13" t="inlineStr">
        <is>
          <t>Service Advisor</t>
        </is>
      </c>
      <c r="F141" s="13" t="inlineStr">
        <is>
          <t>Open RO Studio across all 4 worksheets and type into form fields</t>
        </is>
      </c>
      <c r="G141" s="13" t="inlineStr">
        <is>
          <t>Auto-magnifier toggle and manual zoom presets are removed from toolbar; typing or focusing on form fields does not trigger camera zoom or panning jumps; PDF iframe maintains a rock-steady 100% aspect fit; PDF updates smoothly without viewport jitter</t>
        </is>
      </c>
      <c r="H141" s="14" t="inlineStr">
        <is>
          <t>Passed</t>
        </is>
      </c>
      <c r="I141" s="13" t="inlineStr">
        <is>
          <t>Verified by Automated Unit Tests (tests/frontend/sla_and_logic.test.js) and manual UI inspection</t>
        </is>
      </c>
    </row>
    <row r="142">
      <c r="A142" s="12" t="inlineStr">
        <is>
          <t>AST-62</t>
        </is>
      </c>
      <c r="B142" s="13" t="inlineStr">
        <is>
          <t>Assistant Staff</t>
        </is>
      </c>
      <c r="C142" s="13" t="inlineStr">
        <is>
          <t>Tier 1 (Core Business Flow)</t>
        </is>
      </c>
      <c r="D142" s="13" t="inlineStr">
        <is>
          <t>Online Booking Branch Dispatch</t>
        </is>
      </c>
      <c r="E142" s="13" t="inlineStr">
        <is>
          <t>Assistant</t>
        </is>
      </c>
      <c r="F142" s="13" t="inlineStr">
        <is>
          <t>Log in as Assistant, open Online Booking Form, choose Target Branch = Regalado Branch, fill customer/plate/model and submit</t>
        </is>
      </c>
      <c r="G142" s="13" t="inlineStr">
        <is>
          <t>Toast reads 'Vehicle &lt;PLATE&gt; registered to Regalado Branch Booking Module.' (Booking Dispatched); view switches to the Booking Module filtered to Regalado Branch; new booking row shows the customer name and contact; top-right badge reads 'Regalado Branch · Online Queue'; no Branch column in the table</t>
        </is>
      </c>
      <c r="H142" s="14" t="inlineStr">
        <is>
          <t>Pending</t>
        </is>
      </c>
      <c r="I142" s="13" t="inlineStr"/>
    </row>
    <row r="143">
      <c r="A143" s="12" t="inlineStr">
        <is>
          <t>SA-18</t>
        </is>
      </c>
      <c r="B143" s="13" t="inlineStr">
        <is>
          <t>Service Advisor</t>
        </is>
      </c>
      <c r="C143" s="13" t="inlineStr">
        <is>
          <t>Tier 1 (Security &amp; Data Isolation)</t>
        </is>
      </c>
      <c r="D143" s="13" t="inlineStr">
        <is>
          <t>SA Branch-Locked Online Bookings</t>
        </is>
      </c>
      <c r="E143" s="13" t="inlineStr">
        <is>
          <t>Service Advisor</t>
        </is>
      </c>
      <c r="F143" s="13" t="inlineStr">
        <is>
          <t>With a Regalado booking pending, log in as Marikina SA (sa@hontech.com) and click Online Bookings; then log in as Regalado SA (sa.east@hontech.com) and click Online Bookings</t>
        </is>
      </c>
      <c r="G143" s="13" t="inlineStr">
        <is>
          <t>Marikina SA does not see the Regalado booking and has no branch switcher; Regalado SA sees it; only the Booking Module card is shown; top-right badge is static plain text '&lt;Branch&gt; · Online Queue' with no emoji and no blinking/pulsing dot; table has no Branch column</t>
        </is>
      </c>
      <c r="H143" s="14" t="inlineStr">
        <is>
          <t>Pending</t>
        </is>
      </c>
      <c r="I143" s="13" t="inlineStr"/>
    </row>
    <row r="144">
      <c r="A144" s="12" t="inlineStr">
        <is>
          <t>SA-19</t>
        </is>
      </c>
      <c r="B144" s="13" t="inlineStr">
        <is>
          <t>Service Advisor</t>
        </is>
      </c>
      <c r="C144" s="13" t="inlineStr">
        <is>
          <t>Tier 1 (Core Business Flow)</t>
        </is>
      </c>
      <c r="D144" s="13" t="inlineStr">
        <is>
          <t>Load to 2025 RO Studio Handover</t>
        </is>
      </c>
      <c r="E144" s="13" t="inlineStr">
        <is>
          <t>Service Advisor</t>
        </is>
      </c>
      <c r="F144" s="13" t="inlineStr">
        <is>
          <t>As Regalado SA in Online Bookings click [Load to RO Studio] on the pending booking, complete inspection fields, then click [Register Repair Order to System]</t>
        </is>
      </c>
      <c r="G144" s="13" t="inlineStr">
        <is>
          <t>Studio opens on Form 1/3 prefilled with name, contact, plate, model, concern, intake date, category and Job No = booking ID; after Register the booking disappears from Online Bookings, appears once (no duplicate) in Daily Intakes as Waiting with a claim stub; toast 'Booking Handover Complete'</t>
        </is>
      </c>
      <c r="H144" s="14" t="inlineStr">
        <is>
          <t>Pending</t>
        </is>
      </c>
      <c r="I144" s="13" t="inlineStr"/>
    </row>
    <row r="145">
      <c r="A145" s="12" t="inlineStr">
        <is>
          <t>SA-20</t>
        </is>
      </c>
      <c r="B145" s="13" t="inlineStr">
        <is>
          <t>Service Advisor</t>
        </is>
      </c>
      <c r="C145" s="13" t="inlineStr">
        <is>
          <t>Tier 2 (Workflow &amp; Ergonomics)</t>
        </is>
      </c>
      <c r="D145" s="13" t="inlineStr">
        <is>
          <t>SA Navigation &amp; Daily Intakes Online Module Consolidation</t>
        </is>
      </c>
      <c r="E145" s="13" t="inlineStr">
        <is>
          <t>Service Advisor</t>
        </is>
      </c>
      <c r="F145" s="13" t="inlineStr">
        <is>
          <t>Log in as Service Advisor (sa@hontech.com), inspect left sidebar and top navbar, then click Daily Intakes</t>
        </is>
      </c>
      <c r="G145" s="13" t="inlineStr">
        <is>
          <t>Sidebar and header navigation contain strictly 5 tools (2025 RO Excel Studio, Daily Intakes, Customer Lookup, Bay Status, TV Monitor) with no separate Online Bookings button; clicking Daily Intakes displays the branch-isolated Online Booking Module at the head with active workshop queue below; table has no Branch column and features a clean static top-right badge</t>
        </is>
      </c>
      <c r="H145" s="14" t="inlineStr">
        <is>
          <t>Passed</t>
        </is>
      </c>
      <c r="I145" s="13" t="inlineStr">
        <is>
          <t>Verified by Automated Unit Tests (tests/frontend/app.test.js AUT-FRONT-108 and AUT-FRONT-113)</t>
        </is>
      </c>
    </row>
    <row r="146">
      <c r="A146" s="12" t="inlineStr">
        <is>
          <t>AUTH-30</t>
        </is>
      </c>
      <c r="B146" s="13" t="inlineStr">
        <is>
          <t>Authentication</t>
        </is>
      </c>
      <c r="C146" s="13" t="inlineStr">
        <is>
          <t>Tier 2 (Workflow &amp; Ergonomics)</t>
        </is>
      </c>
      <c r="D146" s="13" t="inlineStr">
        <is>
          <t>Official System Title Branding</t>
        </is>
      </c>
      <c r="E146" s="13" t="inlineStr">
        <is>
          <t>All Roles</t>
        </is>
      </c>
      <c r="F146" s="13" t="inlineStr">
        <is>
          <t>Open the login page (frontend/index.html) in any browser</t>
        </is>
      </c>
      <c r="G146" s="13" t="inlineStr">
        <is>
          <t>Browser tab title displays 'HonTech — Web-Based Operations and Real-Time Queue Management System' and left hero header displays 'Web-Based Operations and Real-Time Queue Management System' with styled red accent on 'Management System'</t>
        </is>
      </c>
      <c r="H146" s="14" t="inlineStr">
        <is>
          <t>Passed</t>
        </is>
      </c>
      <c r="I146" s="13" t="inlineStr">
        <is>
          <t>Verified by Automated Unit Tests (tests/frontend/app.test.js AUT-FRONT-114)</t>
        </is>
      </c>
    </row>
    <row r="147">
      <c r="A147" s="12" t="inlineStr">
        <is>
          <t>SA-21</t>
        </is>
      </c>
      <c r="B147" s="13" t="inlineStr">
        <is>
          <t>Service Advisor</t>
        </is>
      </c>
      <c r="C147" s="13" t="inlineStr">
        <is>
          <t>Tier 2 (Workflow &amp; Ergonomics)</t>
        </is>
      </c>
      <c r="D147" s="13" t="inlineStr">
        <is>
          <t>2025 RO Excel Studio PDF Document Formatting &amp; Coordinate Precision</t>
        </is>
      </c>
      <c r="E147" s="13" t="inlineStr">
        <is>
          <t>Service Advisor</t>
        </is>
      </c>
      <c r="F147" s="13" t="inlineStr">
        <is>
          <t>Open 2025 RO Excel Studio, populate Customer and Vehicle details (including long vehicle model), inspect live PDF preview and Fullscreen Enlarge Modal across Form 1/3, Quotation, Billing, and Checklist</t>
        </is>
      </c>
      <c r="G147" s="13" t="inlineStr">
        <is>
          <t>Text sits cleanly +1.3pt above pre-printed underlines without horizontal lines slicing through letters; Job Order No sits centered on underline (Y=781.5) and Date sits centered inside date box (Y=758.2); Plate No and Job/Quote/Billing No display in bold; Concern Box text starts inside margins (X=94, Y=652) with no border collision; long values auto-shrink down to 5.2pt without clipping or crashing into adjacent columns</t>
        </is>
      </c>
      <c r="H147" s="14" t="inlineStr">
        <is>
          <t>Passed</t>
        </is>
      </c>
      <c r="I147" s="13" t="inlineStr">
        <is>
          <t>Verified by Automated Unit Tests (tests/frontend/sla_and_logic.test.js AUT-FRONT-94 and AUT-FRONT-106)</t>
        </is>
      </c>
    </row>
    <row r="148">
      <c r="A148" s="12" t="inlineStr">
        <is>
          <t>SA-22</t>
        </is>
      </c>
      <c r="B148" s="13" t="inlineStr">
        <is>
          <t>Service Advisor</t>
        </is>
      </c>
      <c r="C148" s="13" t="inlineStr">
        <is>
          <t>Tier 2 (Workflow &amp; Ergonomics)</t>
        </is>
      </c>
      <c r="D148" s="13" t="inlineStr">
        <is>
          <t>2025 RO Excel Studio Multi-Sheet Document Formatting &amp; Coordinate Overhaul</t>
        </is>
      </c>
      <c r="E148" s="13" t="inlineStr">
        <is>
          <t>Service Advisor</t>
        </is>
      </c>
      <c r="F148" s="13" t="inlineStr">
        <is>
          <t>Open 2025 RO Excel Studio, fill details across Quotation (Form 2/3), Billing Statement, and Inspection Checklist, and inspect live PDF previews / export PDF</t>
        </is>
      </c>
      <c r="G148" s="13" t="inlineStr">
        <is>
          <t>In Quotation: Quote No sits centered on underline (Y=775.5), Date sits at X=470 Y=743.5, Job No at X=485 Y=734.0, Customer details sit on exact baselines (Y=696.3, 686.8, 677.4) with pre-printed '0' placeholders non-destructively masked, table line items use targeted insets preserving column grid borders; In Billing: Billing No sits at Y=761.0, Date at Y=724.5, Job No at Y=712.9, Customer baselines at Y=666.4, 654.8, 643.2, 631.6 with masked placeholders, table line items start at Y=583.2 with intact grid borders; In Checklist: Name Date Plate Model sit on exact baselines (Y=739.0, 723.1, 707.3) with masked placeholders, duplicate 'FUEL LEVEL:' label removed and fuel indicator rendered as a crisp border ring around template pre-printed letters</t>
        </is>
      </c>
      <c r="H148" s="14" t="inlineStr">
        <is>
          <t>Passed</t>
        </is>
      </c>
      <c r="I148" s="13" t="inlineStr">
        <is>
          <t>Verified by Automated Unit Tests (tests/frontend/sla_and_logic.test.js AUT-FRONT-107) and manual PDF vector verification</t>
        </is>
      </c>
    </row>
    <row r="149">
      <c r="A149" s="12" t="inlineStr">
        <is>
          <t>SA-23</t>
        </is>
      </c>
      <c r="B149" s="13" t="inlineStr">
        <is>
          <t>Service Advisor</t>
        </is>
      </c>
      <c r="C149" s="13" t="inlineStr">
        <is>
          <t>Tier 2 (Workflow &amp; Ergonomics)</t>
        </is>
      </c>
      <c r="D149" s="13" t="inlineStr">
        <is>
          <t>Quotation PDF Ghost Placeholder Masking &amp; Subtotals Alignment Overhaul</t>
        </is>
      </c>
      <c r="E149" s="13" t="inlineStr">
        <is>
          <t>Service Advisor</t>
        </is>
      </c>
      <c r="F149" s="13" t="inlineStr">
        <is>
          <t>Open 2025 RO Excel Studio, switch to Quotation sheet (Form 2/3), leave some or all table rows blank, and inspect live PDF preview or click Export PDF</t>
        </is>
      </c>
      <c r="G149" s="13" t="inlineStr">
        <is>
          <t>All 7 table columns (PARTS/MATERIAL, QTY, FRT, LABOR, PARTS, MATERIALS, AMOUNT) have pre-printed template '0' and '0.00' ghosts masked cleanly by targeted column insets without altering table grid borders; empty rows remain completely clear of stray '0.00' text; Customer Details and Meta Header right-side columns have pre-printed '0' ghosts cleanly masked; Subtotals and Grand Total block (Y=318..374) cleanly masks pre-printed '0.00' template text while accurately displaying non-zero totals</t>
        </is>
      </c>
      <c r="H149" s="14" t="inlineStr">
        <is>
          <t>Passed</t>
        </is>
      </c>
      <c r="I149" s="13" t="inlineStr">
        <is>
          <t>Verified by Automated Unit Tests (tests/frontend/sla_and_logic.test.js) and manual PDF inspection</t>
        </is>
      </c>
    </row>
    <row r="150">
      <c r="A150" s="12" t="inlineStr">
        <is>
          <t>SA-24</t>
        </is>
      </c>
      <c r="B150" s="13" t="inlineStr">
        <is>
          <t>Service Advisor</t>
        </is>
      </c>
      <c r="C150" s="13" t="inlineStr">
        <is>
          <t>Tier 2 (Workflow &amp; Ergonomics)</t>
        </is>
      </c>
      <c r="D150" s="13" t="inlineStr">
        <is>
          <t>2025 RO Excel Studio Unlocked Editable Top Meta Bars</t>
        </is>
      </c>
      <c r="E150" s="13" t="inlineStr">
        <is>
          <t>Service Advisor</t>
        </is>
      </c>
      <c r="F150" s="13" t="inlineStr">
        <is>
          <t>Log in as Service Advisor, open 2025 RO Excel Studio, click into Job Order No, Quotation No, and Billing No fields, and type custom identifiers</t>
        </is>
      </c>
      <c r="G150" s="13" t="inlineStr">
        <is>
          <t>Job Order No (#f13-input-job-no), Quotation No (#f23-input-quote-no), and Billing No (#bill-input-billing-no) are freely editable without readonly locks; typed custom numbers are preserved across form tab switches, live PDF renders, offline draft save/restore, and official Excel export without being overwritten by reactive keystrokes</t>
        </is>
      </c>
      <c r="H150" s="14" t="inlineStr">
        <is>
          <t>Passed</t>
        </is>
      </c>
      <c r="I150" s="13" t="inlineStr">
        <is>
          <t>Verified by Automated Unit Tests (tests/frontend/app.test.js AUT-FRONT-115)</t>
        </is>
      </c>
    </row>
    <row r="151">
      <c r="A151" s="12" t="inlineStr">
        <is>
          <t>SA-25</t>
        </is>
      </c>
      <c r="B151" s="13" t="inlineStr">
        <is>
          <t>Service Advisor</t>
        </is>
      </c>
      <c r="C151" s="13" t="inlineStr">
        <is>
          <t>Tier 2 (Workflow &amp; Ergonomics)</t>
        </is>
      </c>
      <c r="D151" s="13" t="inlineStr">
        <is>
          <t>Form 1/3 PDF Comprehensive Typography Centering Signatures and Claim Stub Calibration</t>
        </is>
      </c>
      <c r="E151" s="13" t="inlineStr">
        <is>
          <t>Service Advisor</t>
        </is>
      </c>
      <c r="F151" s="13" t="inlineStr">
        <is>
          <t>Log in as Service Advisor, open 2025 RO Excel Studio, fill Customer and Vehicle details, type a multi-line Service Concern, add Parts and Materials using 1-Click Fast Presets, and inspect Form 1/3 live PDF preview / download PDF</t>
        </is>
      </c>
      <c r="G151" s="13" t="inlineStr">
        <is>
          <t>All 12 Customer detail fields use uniform unbolded 6.2pt typography; Customer Concern text is centered horizontally and vertically inside the box; Interviewed by sits cleanly at Y=549.5 with 6.5pt font; Authorization signature masks template '0' ghost and centers customer name; Diagnostic text starts at Y=466 below header; Parts &amp; Materials table rows align with exact 7.32pt template grid and mask '0.00' ghosts; All 6 signature slots are centered above underlines; Bottom Filipino Claim stub masks all 5 ghost placeholders ('0', '0', '0', '1/0/1900', '0') and cleanly renders Name, Plate, Model, SA, Date, and Claim Stub ID on authentic baselines</t>
        </is>
      </c>
      <c r="H151" s="14" t="inlineStr">
        <is>
          <t>Passed</t>
        </is>
      </c>
      <c r="I151" s="13" t="inlineStr">
        <is>
          <t>Verified by Automated Unit Tests (tests/frontend/app.test.js AUT-FRONT-116 and tests/frontend/sla_and_logic.test.js) and manual PDF vector inspection</t>
        </is>
      </c>
    </row>
    <row r="152">
      <c r="A152" s="12" t="inlineStr">
        <is>
          <t>SA-26</t>
        </is>
      </c>
      <c r="B152" s="13" t="inlineStr">
        <is>
          <t>Service Advisor</t>
        </is>
      </c>
      <c r="C152" s="13" t="inlineStr">
        <is>
          <t>Tier 2 (Workflow &amp; Ergonomics)</t>
        </is>
      </c>
      <c r="D152" s="13" t="inlineStr">
        <is>
          <t>Form 1/3 PDF Pixel-Perfect Visual Calibration for Concern, Interviewed By, Authorization &amp; Signatures</t>
        </is>
      </c>
      <c r="E152" s="13" t="inlineStr">
        <is>
          <t>Service Advisor</t>
        </is>
      </c>
      <c r="F152" s="13" t="inlineStr">
        <is>
          <t>Log in as Service Advisor, open 2025 RO Excel Studio, fill Customer and Vehicle details, type Customer Concern, set Service Advisor name, fill Authorization and Lower Signatures, and inspect Form 1/3 live PDF preview / download PDF</t>
        </is>
      </c>
      <c r="G152" s="13" t="inlineStr">
        <is>
          <t>Customer Concern sits centered horizontally and vertically inside the white Concern Box without overlapping NOTE legal text; Interviewed by Service Advisor sits cleanly above the underline at Y=583.5 with masked underline area; Customer Name and Signature rests directly on the Authorization underline at Y=545.5 with template ghost '0' masked; Parts &amp; Materials table aligns with true visual coordinates at Y=495.5 with 7.32pt pitch and Amount ghost whiteouts; Lower signatures and Filipino Claim Stub baselines align with true template underlines</t>
        </is>
      </c>
      <c r="H152" s="14" t="inlineStr">
        <is>
          <t>Passed</t>
        </is>
      </c>
      <c r="I152" s="13" t="inlineStr">
        <is>
          <t>Verified by Automated Unit Tests (tests/frontend/app.test.js AUT-FRONT-116 and tests/frontend/sla_and_logic.test.js) and headless Chrome visual verification</t>
        </is>
      </c>
    </row>
    <row r="153">
      <c r="A153" s="12" t="inlineStr">
        <is>
          <t>SA-27</t>
        </is>
      </c>
      <c r="B153" s="13" t="inlineStr">
        <is>
          <t>Service Advisor</t>
        </is>
      </c>
      <c r="C153" s="13" t="inlineStr">
        <is>
          <t>Tier 2 (Workflow &amp; Ergonomics)</t>
        </is>
      </c>
      <c r="D153" s="13" t="inlineStr">
        <is>
          <t>Form 1/3 PDF Table Grid Integrity &amp; Lower Signatures Calibration</t>
        </is>
      </c>
      <c r="E153" s="13" t="inlineStr">
        <is>
          <t>Service Advisor</t>
        </is>
      </c>
      <c r="F153" s="13" t="inlineStr">
        <is>
          <t>Log in as Service Advisor, open 2025 RO Excel Studio, add Parts and Materials line items, view/download Form 1/3 PDF, and inspect table grid lines, totals boxes, and signatures</t>
        </is>
      </c>
      <c r="G153" s="13" t="inlineStr">
        <is>
          <t>Parts &amp; Materials table row 0 starts cleanly inside the first row at Y=497.75 with 7.78pt row step; whiteout is applied only to populated rows strictly inside cell margins without erasing black horizontal grid lines; all 23 rows retain 100% intact grid borders with zero white stripe artifacts; Parts Subtotal, Materials Subtotal, and Grand Total boxes display numbers cleanly within box borders without erasing surrounding lines; Recommending Approval and Approved By rest at Y=220.5 above Y=219.0 underline; Conforme Customer and Concurred By Manager rest at Y=186.5 above Y=185.0 underline without horizontal line cutting through letters</t>
        </is>
      </c>
      <c r="H153" s="14" t="inlineStr">
        <is>
          <t>Passed</t>
        </is>
      </c>
      <c r="I153" s="13" t="inlineStr">
        <is>
          <t>Verified by Automated Unit Tests (tests/frontend/app.test.js AUT-FRONT-116 and tests/frontend/sla_and_logic.test.js) and headless Chrome rendering inspection</t>
        </is>
      </c>
    </row>
    <row r="154">
      <c r="A154" s="12" t="inlineStr">
        <is>
          <t>SA-28</t>
        </is>
      </c>
      <c r="B154" s="13" t="inlineStr">
        <is>
          <t>Service Advisor</t>
        </is>
      </c>
      <c r="C154" s="13" t="inlineStr">
        <is>
          <t>Tier 2 (Workflow &amp; Ergonomics)</t>
        </is>
      </c>
      <c r="D154" s="13" t="inlineStr">
        <is>
          <t>Current_2025 BLANK RO UPDATED_v3 Job_Order_Wide Official Template Migration &amp; Coordinate Calibration</t>
        </is>
      </c>
      <c r="E154" s="13" t="inlineStr">
        <is>
          <t>Service Advisor</t>
        </is>
      </c>
      <c r="F154" s="13" t="inlineStr">
        <is>
          <t>Log in as Service Advisor, open 2025 RO Excel Studio, inspect Job_Order (Form 1/3) live PDF viewer, type customer information, concern, parts/materials, and click Export Official PDF / Download PDF</t>
        </is>
      </c>
      <c r="G154" s="13" t="inlineStr">
        <is>
          <t>New wide template 'Current_2025 BLANK RO UPDATED_v3.xlsx - Job_Order_Wide.pdf' is embedded in frontend/assets/ as form13_template.pdf with old version cleanly removed; Job Order No (Y=792.2) and Date (Y=767.0) align with template underlines; Customer details sit on 8.11pt spaced baselines (Y=723.5, 715.4, 707.3, 699.2); Concern box is centered horizontally at X=299.4 with max width 430pt without text truncation or ellipsis; Parts &amp; Materials table aligns with 8.11pt row step starting at Y=494.6; Subtotals and Grand Total boxes display cleanly with targeted whiteouts; Lower signatures and Filipino Claim Stub align with true vector baseline coordinates</t>
        </is>
      </c>
      <c r="H154" s="14" t="inlineStr">
        <is>
          <t>Passed</t>
        </is>
      </c>
      <c r="I154" s="13" t="inlineStr">
        <is>
          <t>Verified by Automated Unit Tests (144/144 passing in tests/frontend/app.test.js &amp; sla_and_logic.test.js) and vector geometry extraction</t>
        </is>
      </c>
    </row>
    <row r="155">
      <c r="A155" s="12" t="inlineStr">
        <is>
          <t>SA-29</t>
        </is>
      </c>
      <c r="B155" s="13" t="inlineStr">
        <is>
          <t>Service Advisor</t>
        </is>
      </c>
      <c r="C155" s="13" t="inlineStr">
        <is>
          <t>Tier 2 (Workflow &amp; Ergonomics)</t>
        </is>
      </c>
      <c r="D155" s="13" t="inlineStr">
        <is>
          <t>Form 1/3 Parts &amp; Materials Table Amount Alignment &amp; Ghost Crescent Removal</t>
        </is>
      </c>
      <c r="E155" s="13" t="inlineStr">
        <is>
          <t>Service Advisor</t>
        </is>
      </c>
      <c r="F155" s="13" t="inlineStr">
        <is>
          <t>Log in as Service Advisor, open 2025 RO Excel Studio, inspect Job_Order (Form 1/3) live PDF viewer, add parts (e.g. Engine Oil Filter 450.00, Brake Pads 1850.00) and materials, observe AMOUNT column in live preview and exported PDF</t>
        </is>
      </c>
      <c r="G155" s="13" t="inlineStr">
        <is>
          <t>Whiteout width is calibrated to 64.2pt for parts (covering up to X=352.7) and 48.2pt for materials (covering up to X=522.7) completely masking pre-printed 0.00 template characters; eliminated right-edge phantom crescent ')' artifact; amount values right-align precisely at X=351.6 (parts) and X=521.4 (materials) exactly aligning with pre-printed 0.00 rows below</t>
        </is>
      </c>
      <c r="H155" s="14" t="inlineStr">
        <is>
          <t>Passed</t>
        </is>
      </c>
      <c r="I155" s="13" t="inlineStr">
        <is>
          <t>Verified by Automated Unit Tests (144/144 passing in tests/frontend/app.test.js &amp; sla_and_logic.test.js) and vector geometry extraction</t>
        </is>
      </c>
    </row>
    <row r="156">
      <c r="A156" s="12" t="inlineStr">
        <is>
          <t>SA-30</t>
        </is>
      </c>
      <c r="B156" s="13" t="inlineStr">
        <is>
          <t>Service Advisor</t>
        </is>
      </c>
      <c r="C156" s="13" t="inlineStr">
        <is>
          <t>Tier 2 (Workflow &amp; Ergonomics)</t>
        </is>
      </c>
      <c r="D156" s="13" t="inlineStr">
        <is>
          <t>Form 1/3 Customer Conforme Signature &amp; Filipino Claim Stub Data Alignment</t>
        </is>
      </c>
      <c r="E156" s="13" t="inlineStr">
        <is>
          <t>Service Advisor</t>
        </is>
      </c>
      <c r="F156" s="13" t="inlineStr">
        <is>
          <t>Log in as Service Advisor, open 2025 RO Excel Studio (Form 1/3), observe default customer dossier and bottom claim stub, or type customer details and inspect live PDF preview</t>
        </is>
      </c>
      <c r="G156" s="13" t="inlineStr">
        <is>
          <t>Customer Name and Signature is populated above the CONFORME line (Y=169.0) with default demo fallback and reactive live typing; Bottom Filipino Claim Stub displays Name (X=140), Plate No (centered at X=378.1), Year/Model (X=424), Service Advisor (X=140), Contact (X=355), Intake Date (X=140), and bold Claim Stub ID (centered at X=438.45); Date awkward center offset eliminated and aligned vertically with Name and SA; all claim stub fields update reactively with zero lag</t>
        </is>
      </c>
      <c r="H156" s="14" t="inlineStr">
        <is>
          <t>Passed</t>
        </is>
      </c>
      <c r="I156" s="13" t="inlineStr">
        <is>
          <t>Verified by Automated Unit Tests (144/144 passing in tests/frontend/app.test.js &amp; sla_and_logic.test.js) and manual PDF inspection</t>
        </is>
      </c>
    </row>
    <row r="157">
      <c r="A157" s="12" t="inlineStr">
        <is>
          <t>SA-31</t>
        </is>
      </c>
      <c r="B157" s="13" t="inlineStr">
        <is>
          <t>Service Advisor</t>
        </is>
      </c>
      <c r="C157" s="13" t="inlineStr">
        <is>
          <t>Tier 2 (Workflow &amp; Ergonomics)</t>
        </is>
      </c>
      <c r="D157" s="13" t="inlineStr">
        <is>
          <t>Form 1/3 &amp; RO Excel Export Multi-Sheet Cross-Verification with Live PDF Data</t>
        </is>
      </c>
      <c r="E157" s="13" t="inlineStr">
        <is>
          <t>Service Advisor</t>
        </is>
      </c>
      <c r="F157" s="13" t="inlineStr">
        <is>
          <t>Log in as Service Advisor, open 2025 RO Excel Studio, type customer, vehicle, contact, parts, and materials data in Form 1/3, click Export .xlsx, and inspect all 7 sheets of the downloaded Excel workbook against the live PDF preview</t>
        </is>
      </c>
      <c r="G157" s="13" t="inlineStr">
        <is>
          <t>Sheet 1 (Job_Order) injects identical customer details (C10 Name, C11 Address, C12 Contact, C13 Email, K10 Plate, H10 Model, K11 Date, K12 Promise, K13 Color, H11 KM, H12 Engine, H13 Chassis), Concern (B17), Diagnostic (B27..B52), Parts (D27..G52), Materials (H27..K52), Subtotals (G53, K53, K54), Signatures (C53, I53, C58, H58, C61, H61), and complete Claim Stub (C70 Name, H70 Plate, J70 Model, I70 Plate/Model, C71 SA, H71/I71 Contact, C72 Date, H72/I72 Claim Stub ID); Sheets 2-4 (Quotation), Sheets 5-6 (Billing), and Sheet 7 (Checklist) inject identical mirrored datasets matching PDF output 1:1</t>
        </is>
      </c>
      <c r="H157" s="14" t="inlineStr">
        <is>
          <t>Passed</t>
        </is>
      </c>
      <c r="I157" s="13" t="inlineStr">
        <is>
          <t>Verified by Automated Unit Tests (144/144 passing in tests/frontend/app.test.js &amp; sla_and_logic.test.js) and OpenXML extraction</t>
        </is>
      </c>
    </row>
    <row r="158">
      <c r="A158" s="12" t="inlineStr">
        <is>
          <t>SA-32</t>
        </is>
      </c>
      <c r="B158" s="13" t="inlineStr">
        <is>
          <t>Service Advisor</t>
        </is>
      </c>
      <c r="C158" s="13" t="inlineStr">
        <is>
          <t>Tier 2 (Workflow &amp; Ergonomics)</t>
        </is>
      </c>
      <c r="D158" s="13" t="inlineStr">
        <is>
          <t>Quotation Form 2/3 PDF Coordinate Calibration &amp; Overlap Elimination</t>
        </is>
      </c>
      <c r="E158" s="13" t="inlineStr">
        <is>
          <t>Service Advisor</t>
        </is>
      </c>
      <c r="F158" s="13" t="inlineStr">
        <is>
          <t>Log in as Service Advisor, open 2025 RO Excel Studio, switch to Quotation sheet (Form 2/3), fill customer dossier &amp; repair items, and click 'Full PDF' or inspect live preview</t>
        </is>
      </c>
      <c r="G158" s="13" t="inlineStr">
        <is>
          <t>Quotation No (e.g. QT-2026-9749) centers cleanly on top underline (X=500.9, Y=726.5) with zero overlap into 'QUOTATION NO.' text; Date, Job Order No, and Promised Date sit on true header cell baselines (Y=699.34, 690.46, 681.58) with labels intact and zero label truncation; Customer Details box baselines sit at Y=654.94, 646.06, 637.18 with pre-printed '0' ghosts cleanly masked and borders 100% intact; 30-row parts/labor table starts below header card at Y=610.54 without overlapping customer details; Lower signatures and Conforme line align cleanly with authentic template underlines</t>
        </is>
      </c>
      <c r="H158" s="14" t="inlineStr">
        <is>
          <t>Passed</t>
        </is>
      </c>
      <c r="I158" s="13" t="inlineStr">
        <is>
          <t>Verified by Automated Unit Tests (144/144 passing in tests/frontend/app.test.js &amp; sla_and_logic.test.js) and vector geometry extraction</t>
        </is>
      </c>
    </row>
    <row r="159">
      <c r="A159" s="12" t="inlineStr">
        <is>
          <t>SA-33</t>
        </is>
      </c>
      <c r="B159" s="13" t="inlineStr">
        <is>
          <t>Service Advisor</t>
        </is>
      </c>
      <c r="C159" s="13" t="inlineStr">
        <is>
          <t>Tier 2 (Workflow &amp; Ergonomics)</t>
        </is>
      </c>
      <c r="D159" s="13" t="inlineStr">
        <is>
          <t>Quotation Form 2/3 Exact Visual Vector Calibration &amp; Border-Safe Masking</t>
        </is>
      </c>
      <c r="E159" s="13" t="inlineStr">
        <is>
          <t>Service Advisor</t>
        </is>
      </c>
      <c r="F159" s="13" t="inlineStr">
        <is>
          <t>Log in as Service Advisor, open 2025 RO Excel Studio, switch to Quotation tab (Form 2/3), fill customer &amp; repair items, and click 'Full PDF' or 'Download PDF'</t>
        </is>
      </c>
      <c r="G159" s="13" t="inlineStr">
        <is>
          <t>Quotation No (e.g. QT-2026-5777) centers directly on the template underline at Y=772.0 above DATE box with zero vertical displacement; Right Meta Box correctly renders Date (Y=742.8), Job Order No (Y=733.2), and Promised Date (Y=723.8) strictly inside their boxes with ghost '0' masked; Customer Details align on exact baselines (Y=694.8, 685.4, 675.9) with all '0' ghost placeholders 100% eliminated without cutting through black underlines; 30 table rows align with exact cell geometry starting at Y=647.42 with 100% intact grid borders and zero ghost artifacts; Totals block right-aligns inside cell at X=516.5; Lower signatures (SA, Manager, Conforme) rest cleanly on authentic underlines</t>
        </is>
      </c>
      <c r="H159" s="14" t="inlineStr">
        <is>
          <t>Passed</t>
        </is>
      </c>
      <c r="I159" s="13" t="inlineStr">
        <is>
          <t>Verified by Automated Unit Tests (145/145 passing in tests/frontend/sla_and_logic.test.js AUT-FRONT-111) and pypdfium2 visual rendering inspection</t>
        </is>
      </c>
    </row>
    <row r="160">
      <c r="A160" s="12" t="inlineStr">
        <is>
          <t>SA-34</t>
        </is>
      </c>
      <c r="B160" s="13" t="inlineStr">
        <is>
          <t>Service Advisor</t>
        </is>
      </c>
      <c r="C160" s="13" t="inlineStr">
        <is>
          <t>Tier 2 (Workflow &amp; Ergonomics)</t>
        </is>
      </c>
      <c r="D160" s="13" t="inlineStr">
        <is>
          <t>Billing Form 3/3 Measured Vector Alignment &amp; Border-Safe Ghost Masking</t>
        </is>
      </c>
      <c r="E160" s="13" t="inlineStr">
        <is>
          <t>Service Advisor</t>
        </is>
      </c>
      <c r="F160" s="13" t="inlineStr">
        <is>
          <t>Log in as Service Advisor, open 2025 RO Excel Studio, switch to Billing tab (Form 3/3), fill customer details and billing line items, and click 'Full PDF' or 'Download PDF'</t>
        </is>
      </c>
      <c r="G160" s="13" t="inlineStr">
        <is>
          <t>Billing No sits on the underline to the right of BILLING NO. without overlapping the title; Date, Job Order No and Quotation No sit inside their boxes with no caret (^) artifacts and intact box lines; Customer Details values rest on their underlines with no ghost 0 or caret marks and no broken underline segments; Km Reading value does not overlap its label; bill amount fits its underline without covering the word 'with'; item descriptions stay inside the table's left border, all 36 rows keep intact grid lines, and empty AMOUNT cells show no dash artifacts; LABOR, VAT 12%, MATERIALS, PARTS and TOTAL values sit centered inside their boxes</t>
        </is>
      </c>
      <c r="H160" s="14" t="inlineStr">
        <is>
          <t>Passed</t>
        </is>
      </c>
      <c r="I160" s="13" t="inlineStr">
        <is>
          <t>Verified by Automated Unit Tests (146/146 passing in tests/frontend/sla_and_logic.test.js AUT-FRONT-117) and pdf-lib/pdfplumber rendered PDF inspection</t>
        </is>
      </c>
    </row>
    <row r="161">
      <c r="A161" s="12" t="inlineStr">
        <is>
          <t>SA-35</t>
        </is>
      </c>
      <c r="B161" s="13" t="inlineStr">
        <is>
          <t>Service Advisor</t>
        </is>
      </c>
      <c r="C161" s="13" t="inlineStr">
        <is>
          <t>Tier 2 (Workflow &amp; Ergonomics)</t>
        </is>
      </c>
      <c r="D161" s="13" t="inlineStr">
        <is>
          <t>Billing Form 3/3 Service Advisor Signature Alignment</t>
        </is>
      </c>
      <c r="E161" s="13" t="inlineStr">
        <is>
          <t>Service Advisor</t>
        </is>
      </c>
      <c r="F161" s="13" t="inlineStr">
        <is>
          <t>Log in as Service Advisor, open 2025 RO Excel Studio, switch to Billing tab (Form 3/3), set the Service Advisor name, and click 'Full PDF' or 'Download PDF'</t>
        </is>
      </c>
      <c r="G161" s="13" t="inlineStr">
        <is>
          <t>The Service Advisor name sits horizontally centered on the signature line directly above it, vertically aligned with the 'Service Advisor' label below, without touching the line or the 'HONTECH MANGEMENT:' heading; long names shrink to stay within the line</t>
        </is>
      </c>
      <c r="H161" s="14" t="inlineStr">
        <is>
          <t>Passed</t>
        </is>
      </c>
      <c r="I161" s="13" t="inlineStr">
        <is>
          <t>Verified by Automated Unit Tests (147/147 passing in tests/frontend/sla_and_logic.test.js AUT-FRONT-118) and 300 dpi rendered PDF inspection</t>
        </is>
      </c>
    </row>
    <row r="162">
      <c r="A162" s="12" t="inlineStr">
        <is>
          <t>SA-36</t>
        </is>
      </c>
      <c r="B162" s="13" t="inlineStr">
        <is>
          <t>Service Advisor</t>
        </is>
      </c>
      <c r="C162" s="13" t="inlineStr">
        <is>
          <t>Tier 2 (Workflow &amp; Ergonomics)</t>
        </is>
      </c>
      <c r="D162" s="13" t="inlineStr">
        <is>
          <t>Checklist Result Measured Status-Box Grid, Header &amp; Signature Alignment</t>
        </is>
      </c>
      <c r="E162" s="13" t="inlineStr">
        <is>
          <t>Service Advisor</t>
        </is>
      </c>
      <c r="F162" s="13" t="inlineStr">
        <is>
          <t>Log in as Service Advisor, open 2025 RO Excel Studio, switch to Checklist tab, set a mix of Good / Attention / Defect / N/A statuses across all inspection points, choose a fuel level, optionally tick 'Brakes not inspected', enter comments, and click 'Full PDF' or 'Download PDF'</t>
        </is>
      </c>
      <c r="G162" s="13" t="inlineStr">
        <is>
          <t>Each inspection point shows one dark checkmark centered inside the green (Good), yellow (Attention) or red (Defect) box on its own row, and N/A rows stay blank; Battery marks Good or Replace; Brake Pads mark all four wheel boxes or the 'Brakes not inspected' checkbox; Customer Name, Plate Number and Vehicle Year Model sit on their underlines with no caret or 0 artifacts; Date is centered on its underline; the selected fuel level is ringed inside its cell; comments wrap onto the ruled lines; Technician name and customer name are centered on their signature lines</t>
        </is>
      </c>
      <c r="H162" s="14" t="inlineStr">
        <is>
          <t>Passed</t>
        </is>
      </c>
      <c r="I162" s="13" t="inlineStr">
        <is>
          <t>Verified by Automated Unit Tests (148/148 passing in tests/frontend/sla_and_logic.test.js AUT-FRONT-119) and 200 dpi rendered PDF inspection</t>
        </is>
      </c>
    </row>
    <row r="163">
      <c r="A163" s="12" t="inlineStr">
        <is>
          <t>SA-37</t>
        </is>
      </c>
      <c r="B163" s="13" t="inlineStr">
        <is>
          <t>Service Advisor</t>
        </is>
      </c>
      <c r="C163" s="13" t="inlineStr">
        <is>
          <t>Tier 2 (Workflow &amp; Ergonomics)</t>
        </is>
      </c>
      <c r="D163" s="13" t="inlineStr">
        <is>
          <t>Checklist UI, PDF &amp; Excel Unified Wording, Colors &amp; Status Symbols</t>
        </is>
      </c>
      <c r="E163" s="13" t="inlineStr">
        <is>
          <t>Service Advisor</t>
        </is>
      </c>
      <c r="F163" s="13" t="inlineStr">
        <is>
          <t>Log in as Service Advisor, open 2025 RO Excel Studio, switch to Checklist tab, set a mix of Good / Attention / Defect / N/A statuses (battery Good or Replace), enter comments, then click 'Full PDF' and 'Export Excel' and compare all three</t>
        </is>
      </c>
      <c r="G163" s="13" t="inlineStr">
        <is>
          <t>On-screen sections and items use the printed form wording (Interior/Exterior, Battery Performance, Under Hood, Under Vehicle, Tire Condition, Brake Condition); selected buttons use the form colors (green Good, yellow Attention, red Defect) with the form legend; the PDF and Excel show the same symbol as the button (✓ / ⚠ / ✕) in the matching green / yellow / red box, with N/A rows blank; battery shows Good or Replace consistently in all three; the Excel sheet keeps the printed 'Please Indicate Areas of External Damage or Wear' and brake fluid note text, and comments wrap across the Comments lines</t>
        </is>
      </c>
      <c r="H163" s="14" t="inlineStr">
        <is>
          <t>Passed</t>
        </is>
      </c>
      <c r="I163" s="13" t="inlineStr">
        <is>
          <t>Verified by Automated Unit Tests (149/149 passing in tests/frontend/sla_and_logic.test.js AUT-FRONT-120) and headless Chrome UI render, PDF render and real Excel export read back with openpyxl</t>
        </is>
      </c>
    </row>
    <row r="164">
      <c r="A164" s="12" t="inlineStr">
        <is>
          <t>SA-38</t>
        </is>
      </c>
      <c r="B164" s="13" t="inlineStr">
        <is>
          <t>Service Advisor</t>
        </is>
      </c>
      <c r="C164" s="13" t="inlineStr">
        <is>
          <t>Tier 2 (Workflow &amp; Ergonomics)</t>
        </is>
      </c>
      <c r="D164" s="13" t="inlineStr">
        <is>
          <t>Checklist Brakes-Not-Inspected Checkbox Placement</t>
        </is>
      </c>
      <c r="E164" s="13" t="inlineStr">
        <is>
          <t>Service Advisor</t>
        </is>
      </c>
      <c r="F164" s="13" t="inlineStr">
        <is>
          <t>Log in as Service Advisor, open 2025 RO Excel Studio, switch to Checklist tab, scroll the Multi-Point Receiving Checkpoints card to the bottom, and tick / untick 'Brakes not inspected on this visit'</t>
        </is>
      </c>
      <c r="G164" s="13" t="inlineStr">
        <is>
          <t>The 'Brakes not inspected on this visit' checkbox appears once, at the bottom of the Multi-Point Receiving Checkpoints card after the checkpoint list and directly above Inspector Remarks / Discovered Deficiencies; ticking it still marks the 'Brakes not inspected' box on the Checklist PDF and Excel (M37)</t>
        </is>
      </c>
      <c r="H164" s="14" t="inlineStr">
        <is>
          <t>Passed</t>
        </is>
      </c>
      <c r="I164" s="13" t="inlineStr">
        <is>
          <t>Verified by Automated Unit Tests (150/150 passing in tests/frontend/sla_and_logic.test.js AUT-FRONT-121) and headless Chrome render inspection</t>
        </is>
      </c>
    </row>
    <row r="165">
      <c r="A165" s="12" t="inlineStr">
        <is>
          <t>SA-39</t>
        </is>
      </c>
      <c r="B165" s="13" t="inlineStr">
        <is>
          <t>Service Advisor</t>
        </is>
      </c>
      <c r="C165" s="13" t="inlineStr">
        <is>
          <t>Tier 2 (Workflow &amp; Ergonomics)</t>
        </is>
      </c>
      <c r="D165" s="13" t="inlineStr">
        <is>
          <t>CheckList Studio Professional Neutral Redesign &amp; Fuel Selector</t>
        </is>
      </c>
      <c r="E165" s="13" t="inlineStr">
        <is>
          <t>Service Advisor</t>
        </is>
      </c>
      <c r="F165" s="13" t="inlineStr">
        <is>
          <t>Log in as Service Advisor, open 2025 RO Excel Studio, switch to Checklist tab, review the editor, pick each fuel level, set several checkpoint statuses, and view the page on a phone-sized screen</t>
        </is>
      </c>
      <c r="G165" s="13" t="inlineStr">
        <is>
          <t>The editor uses a neutral gray design with Export .xlsx as the only dark primary button and no colored banners or pulsing badges; each checkpoint has a segmented Good / Attention / Defect / N/A control where the selected option turns dark and small green / yellow / red swatches match the printed form boxes; the selected fuel level is highlighted and the label shows the matching percentage; the layout stays readable on a phone-sized screen; the Checklist PDF and Excel output are unchanged</t>
        </is>
      </c>
      <c r="H165" s="14" t="inlineStr">
        <is>
          <t>Passed</t>
        </is>
      </c>
      <c r="I165" s="13" t="inlineStr">
        <is>
          <t>Verified by Automated Unit Tests (151/151 passing in tests/frontend/sla_and_logic.test.js AUT-FRONT-122) and headless Chrome desktop / phone renders</t>
        </is>
      </c>
    </row>
    <row r="166">
      <c r="A166" s="12" t="inlineStr">
        <is>
          <t>SA-40</t>
        </is>
      </c>
      <c r="B166" s="13" t="inlineStr">
        <is>
          <t>Service Advisor</t>
        </is>
      </c>
      <c r="C166" s="13" t="inlineStr">
        <is>
          <t>Tier 2 (Workflow &amp; Ergonomics)</t>
        </is>
      </c>
      <c r="D166" s="13" t="inlineStr">
        <is>
          <t>CheckList Studio Quick Actions Original Colors</t>
        </is>
      </c>
      <c r="E166" s="13" t="inlineStr">
        <is>
          <t>Service Advisor</t>
        </is>
      </c>
      <c r="F166" s="13" t="inlineStr">
        <is>
          <t>Log in as Service Advisor, open 2025 RO Excel Studio, switch to Checklist tab, and look at the Save Draft, All Pass, Reset and Export .xlsx buttons in the header; hover over each</t>
        </is>
      </c>
      <c r="G166" s="13" t="inlineStr">
        <is>
          <t>Save Draft and All Pass show light green buttons with green text, Reset is light gray and turns amber on hover, and Export .xlsx is solid green with white text; all four keep the same size and rounded shape as the rest of the professional design, and the remainder of the editor stays neutral gray</t>
        </is>
      </c>
      <c r="H166" s="14" t="inlineStr">
        <is>
          <t>Passed</t>
        </is>
      </c>
      <c r="I166" s="13" t="inlineStr">
        <is>
          <t>Verified by Automated Unit Tests (152/152 passing in tests/frontend/sla_and_logic.test.js AUT-FRONT-123) and headless Chrome render inspection</t>
        </is>
      </c>
    </row>
    <row r="167">
      <c r="A167" s="12" t="inlineStr">
        <is>
          <t>SA-41</t>
        </is>
      </c>
      <c r="B167" s="13" t="inlineStr">
        <is>
          <t>Service Advisor</t>
        </is>
      </c>
      <c r="C167" s="13" t="inlineStr">
        <is>
          <t>Tier 2 (Workflow &amp; Ergonomics)</t>
        </is>
      </c>
      <c r="D167" s="13" t="inlineStr">
        <is>
          <t>Checklist Status Buttons Filled With Actual Form Colors</t>
        </is>
      </c>
      <c r="E167" s="13" t="inlineStr">
        <is>
          <t>Service Advisor</t>
        </is>
      </c>
      <c r="F167" s="13" t="inlineStr">
        <is>
          <t>Log in as Service Advisor, open 2025 RO Excel Studio, switch to Checklist tab, and set checkpoints to Good, Attention, Defect and N/A (and the battery to Good / Replace)</t>
        </is>
      </c>
      <c r="G167" s="13" t="inlineStr">
        <is>
          <t>The selected option of each checkpoint is fully filled with the printed form color: green for Good, yellow for Attention, red for Defect and battery Replace, dark gray for N/A, with readable text; unselected options are plain white; no small colored dots appear inside the buttons, and the legend shows full color blocks</t>
        </is>
      </c>
      <c r="H167" s="14" t="inlineStr">
        <is>
          <t>Passed</t>
        </is>
      </c>
      <c r="I167" s="13" t="inlineStr">
        <is>
          <t>Verified by Automated Unit Tests (153/153 passing in tests/frontend/sla_and_logic.test.js AUT-FRONT-124) and headless Chrome render inspection</t>
        </is>
      </c>
    </row>
    <row r="168">
      <c r="A168" s="12" t="inlineStr">
        <is>
          <t>SA-42</t>
        </is>
      </c>
      <c r="B168" s="13" t="inlineStr">
        <is>
          <t>Service Advisor</t>
        </is>
      </c>
      <c r="C168" s="13" t="inlineStr">
        <is>
          <t>Tier 2 (Workflow &amp; Ergonomics)</t>
        </is>
      </c>
      <c r="D168" s="13" t="inlineStr">
        <is>
          <t>Checklist Brake Condition Per-Wheel Status</t>
        </is>
      </c>
      <c r="E168" s="13" t="inlineStr">
        <is>
          <t>Service Advisor</t>
        </is>
      </c>
      <c r="F168" s="13" t="inlineStr">
        <is>
          <t>Log in as Service Advisor, open 2025 RO Excel Studio, switch to Checklist tab, set a different status for Left Front, Right Front, Left Rear and Right Rear under Brake Condition, then view the Checklist PDF and export Excel; tick and untick 'Brakes not inspected on this visit'</t>
        </is>
      </c>
      <c r="G168" s="13" t="inlineStr">
        <is>
          <t>Brake Condition shows four rows (Left Front, Right Front, Left Rear, Right Rear), each with its own status and notes; the PDF and Excel mark each wheel in its own green / yellow / red box with the matching symbol; ticking 'Brakes not inspected' sets all four wheels to N/A and marks the checkbox, and unticking restores each wheel's previous status and notes; older drafts open with all four wheels set to the previous single brake status</t>
        </is>
      </c>
      <c r="H168" s="14" t="inlineStr">
        <is>
          <t>Passed</t>
        </is>
      </c>
      <c r="I168" s="13" t="inlineStr">
        <is>
          <t>Verified by Automated Unit Tests (154/154 passing in tests/frontend/sla_and_logic.test.js AUT-FRONT-125), Node logic run, headless Chrome UI render, PDF render and real Excel export read back with openpyxl</t>
        </is>
      </c>
    </row>
    <row r="169">
      <c r="A169" s="12" t="inlineStr">
        <is>
          <t>SA-43</t>
        </is>
      </c>
      <c r="B169" s="13" t="inlineStr">
        <is>
          <t>Service Advisor</t>
        </is>
      </c>
      <c r="C169" s="13" t="inlineStr">
        <is>
          <t>Tier 2 (Workflow &amp; Ergonomics)</t>
        </is>
      </c>
      <c r="D169" s="13" t="inlineStr">
        <is>
          <t>Checklist Checkpoints Selection-Only</t>
        </is>
      </c>
      <c r="E169" s="13" t="inlineStr">
        <is>
          <t>Service Advisor</t>
        </is>
      </c>
      <c r="F169" s="13" t="inlineStr">
        <is>
          <t>Log in as Service Advisor, open 2025 RO Excel Studio, switch to Checklist tab, and review each checkpoint row</t>
        </is>
      </c>
      <c r="G169" s="13" t="inlineStr">
        <is>
          <t>Each checkpoint shows only its name and the Good / Attention / Defect / N/A selector (battery Good / Replace / N/A) with no text box underneath; findings are typed only in Inspector Remarks / Discovered Deficiencies at the bottom; the Checklist PDF and Excel output are unchanged</t>
        </is>
      </c>
      <c r="H169" s="14" t="inlineStr">
        <is>
          <t>Passed</t>
        </is>
      </c>
      <c r="I169" s="13" t="inlineStr">
        <is>
          <t>Verified by Automated Unit Tests (155/155 passing in tests/frontend/sla_and_logic.test.js AUT-FRONT-126) and headless Chrome render inspection</t>
        </is>
      </c>
    </row>
    <row r="170">
      <c r="A170" s="12" t="inlineStr">
        <is>
          <t>SA-44</t>
        </is>
      </c>
      <c r="B170" s="13" t="inlineStr">
        <is>
          <t>Service Advisor</t>
        </is>
      </c>
      <c r="C170" s="13" t="inlineStr">
        <is>
          <t>Tier 2 (Workflow &amp; Ergonomics)</t>
        </is>
      </c>
      <c r="D170" s="13" t="inlineStr">
        <is>
          <t>Checklist Section Header Bands</t>
        </is>
      </c>
      <c r="E170" s="13" t="inlineStr">
        <is>
          <t>Service Advisor</t>
        </is>
      </c>
      <c r="F170" s="13" t="inlineStr">
        <is>
          <t>Log in as Service Advisor, open 2025 RO Excel Studio, switch to Checklist tab, and scroll through the Multi-Point Receiving Checkpoints</t>
        </is>
      </c>
      <c r="G170" s="13" t="inlineStr">
        <is>
          <t>Each section title (Interior/Exterior, Battery Performance (see attached ED-18 printout), Under Hood, Under Vehicle, Tire Condition, Brake Condition) appears in bold black text on a gray band matching the printed form header, making it clear where each part starts</t>
        </is>
      </c>
      <c r="H170" s="14" t="inlineStr">
        <is>
          <t>Passed</t>
        </is>
      </c>
      <c r="I170" s="13" t="inlineStr">
        <is>
          <t>Verified by Automated Unit Tests (156/156 passing in tests/frontend/sla_and_logic.test.js AUT-FRONT-127) and headless Chrome render inspection</t>
        </is>
      </c>
    </row>
    <row r="171">
      <c r="A171" s="12" t="inlineStr">
        <is>
          <t>SA-45</t>
        </is>
      </c>
      <c r="B171" s="13" t="inlineStr">
        <is>
          <t>Service Advisor</t>
        </is>
      </c>
      <c r="C171" s="13" t="inlineStr">
        <is>
          <t>Tier 2 (Workflow &amp; Ergonomics)</t>
        </is>
      </c>
      <c r="D171" s="13" t="inlineStr">
        <is>
          <t>Studio-Wide CheckList Design &amp; Shared PDF Toolbar</t>
        </is>
      </c>
      <c r="E171" s="13" t="inlineStr">
        <is>
          <t>Service Advisor</t>
        </is>
      </c>
      <c r="F171" s="13" t="inlineStr">
        <is>
          <t>Log in as Service Advisor, open 2025 RO Excel Studio, and switch between Job_Order, Quotation_No, Billing_No and CheckList_Result; use Fit / 185%, Maximize, Full PDF, Download PDF and Export .xlsx on each tab</t>
        </is>
      </c>
      <c r="G171" s="13" t="inlineStr">
        <is>
          <t>All four tabs show the same PDF toolbar: sheet title and subtitle with a Live synced tag, then Fit / 185%, Maximize, Full PDF and Download PDF on one line without wrapped labels, and the green Export .xlsx button; the Job Order, Quotation and Billing editors match the CheckList design (flat cards, small gray section titles and labels, gray input focus, neutral add and preset buttons) with Save Draft / Reset / Export keeping their original colors; on Job Order, Customer Dossier and the following cards appear as separate cards; Maximize turns dark while active</t>
        </is>
      </c>
      <c r="H171" s="14" t="inlineStr">
        <is>
          <t>Passed</t>
        </is>
      </c>
      <c r="I171" s="13" t="inlineStr">
        <is>
          <t>Verified by Automated Unit Tests (157/157 passing in tests/frontend/sla_and_logic.test.js AUT-FRONT-128) and headless Chrome renders of all four tabs</t>
        </is>
      </c>
    </row>
    <row r="172">
      <c r="A172" s="12" t="inlineStr">
        <is>
          <t>SA-46</t>
        </is>
      </c>
      <c r="B172" s="13" t="inlineStr">
        <is>
          <t>Service Advisor</t>
        </is>
      </c>
      <c r="C172" s="13" t="inlineStr">
        <is>
          <t>Tier 2 (Workflow &amp; Ergonomics)</t>
        </is>
      </c>
      <c r="D172" s="13" t="inlineStr">
        <is>
          <t>PDF and Excel Data Parity</t>
        </is>
      </c>
      <c r="E172" s="13" t="inlineStr">
        <is>
          <t>Service Advisor</t>
        </is>
      </c>
      <c r="F172" s="13" t="inlineStr">
        <is>
          <t>Log in as Service Advisor, open 2025 RO Excel Studio, fill Job Order (with a Claim Stub ID), Quotation and Billing (including a labor item, a part, a material and a discount) and the Checklist; edit a customer field only on the Billing tab; download each PDF and export .xlsx; open the workbook and compare every value and total with the PDFs and the on-screen totals</t>
        </is>
      </c>
      <c r="G172" s="13" t="inlineStr">
        <is>
          <t>Every header value, line item and amount on each PDF appears identically in its Excel sheet: Billing lists the Billing items; LABOR / PARTS / MATERIALS columns match; VAT 12% is charged on labor only in the PDF, Excel and on screen; Billing TOTAL and 'amount of' subtract the discount everywhere; the Claim Stub shows the Claim Stub ID; values edited on the Quotation, Billing or Checklist tab appear on both that PDF and its sheet; the Job Order TOTAL shows Parts + Materials</t>
        </is>
      </c>
      <c r="H172" s="14" t="inlineStr">
        <is>
          <t>Passed</t>
        </is>
      </c>
      <c r="I172" s="13" t="inlineStr">
        <is>
          <t>Verified by Automated Unit Tests (158/158 passing in tests/frontend/sla_and_logic.test.js AUT-FRONT-129) and an end-to-end PDF vs LibreOffice-recalculated workbook comparison of every item row and total</t>
        </is>
      </c>
    </row>
    <row r="173">
      <c r="A173" s="12" t="inlineStr">
        <is>
          <t>SA-47</t>
        </is>
      </c>
      <c r="B173" s="13" t="inlineStr">
        <is>
          <t>Service Advisor</t>
        </is>
      </c>
      <c r="C173" s="13" t="inlineStr">
        <is>
          <t>Tier 2 (Workflow &amp; Ergonomics)</t>
        </is>
      </c>
      <c r="D173" s="13" t="inlineStr">
        <is>
          <t>RO Excel Studio Section Header Bands</t>
        </is>
      </c>
      <c r="E173" s="13" t="inlineStr">
        <is>
          <t>Service Advisor</t>
        </is>
      </c>
      <c r="F173" s="13" t="inlineStr">
        <is>
          <t>Log in as Service Advisor, open 2025 RO Excel Studio and view the Job_Order, Quotation_No, Billing_No and CheckList_Result tabs</t>
        </is>
      </c>
      <c r="G173" s="13" t="inlineStr">
        <is>
          <t>Workshop Monitoring &amp; Daily Intakes and every other section title on all four tabs sits on a light blue band with a blue left accent; titles and subtitles are clearly readable; Save Draft, All Pass, Reset, Export and Register buttons keep their original colors</t>
        </is>
      </c>
      <c r="H173" s="14" t="inlineStr">
        <is>
          <t>Passed</t>
        </is>
      </c>
      <c r="I173" s="13" t="inlineStr">
        <is>
          <t>Verified by Automated Unit Tests (159 passing in tests/frontend/sla_and_logic.test.js AUT-FRONT-130) and headless Chrome renders of all four tabs</t>
        </is>
      </c>
    </row>
    <row r="174">
      <c r="A174" s="12" t="inlineStr">
        <is>
          <t>SA-48</t>
        </is>
      </c>
      <c r="B174" s="13" t="inlineStr">
        <is>
          <t>Service Advisor</t>
        </is>
      </c>
      <c r="C174" s="13" t="inlineStr">
        <is>
          <t>Tier 2 (Workflow &amp; Ergonomics)</t>
        </is>
      </c>
      <c r="D174" s="13" t="inlineStr">
        <is>
          <t>Neutral Studio Section Header Bands</t>
        </is>
      </c>
      <c r="E174" s="13" t="inlineStr">
        <is>
          <t>Service Advisor</t>
        </is>
      </c>
      <c r="F174" s="13" t="inlineStr">
        <is>
          <t>Log in as Service Advisor, open 2025 RO Excel Studio and view the Job_Order, Quotation_No, Billing_No and CheckList_Result tabs</t>
        </is>
      </c>
      <c r="G174" s="13" t="inlineStr">
        <is>
          <t>Every section title (including Workshop Monitoring &amp; Daily Intakes) sits on the same light gray band as the CheckList checkpoint groups, with black titles; no blue bands or accents remain; button colors are unchanged</t>
        </is>
      </c>
      <c r="H174" s="14" t="inlineStr">
        <is>
          <t>Passed</t>
        </is>
      </c>
      <c r="I174" s="13" t="inlineStr">
        <is>
          <t>Verified by Automated Unit Tests (160 passing in tests/frontend/sla_and_logic.test.js AUT-FRONT-131) and headless Chrome renders of all four tabs</t>
        </is>
      </c>
    </row>
  </sheetData>
  <autoFilter ref="A4:I174"/>
  <mergeCells count="1">
    <mergeCell ref="A2:I2"/>
  </mergeCells>
  <conditionalFormatting sqref="H5:H174">
    <cfRule type="expression" priority="1" dxfId="0">
      <formula>$H5="Passed"</formula>
    </cfRule>
    <cfRule type="expression" priority="2" dxfId="0">
      <formula>$H5="Pass"</formula>
    </cfRule>
    <cfRule type="expression" priority="3" dxfId="1">
      <formula>$H5="Failed"</formula>
    </cfRule>
    <cfRule type="expression" priority="4" dxfId="1">
      <formula>$H5="Fail"</formula>
    </cfRule>
    <cfRule type="expression" priority="5" dxfId="2">
      <formula>$H5="Pending"</formula>
    </cfRule>
  </conditionalFormatting>
  <conditionalFormatting sqref="A5:A174">
    <cfRule type="expression" priority="6" dxfId="3">
      <formula>COUNTIF($A$5:$A$174,$A5)&gt;1</formula>
    </cfRule>
  </conditionalFormatting>
  <dataValidations count="1">
    <dataValidation sqref="H5:H174" showDropDown="0" showInputMessage="0" showErrorMessage="0" allowBlank="1" type="list">
      <formula1>"Pending,Passed,Failed"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2026-09-24T13:09:15Z</dcterms:created>
  <dcterms:modified xsi:type="dcterms:W3CDTF">2026-09-25T05:12:20Z</dcterms:modified>
</cp:coreProperties>
</file>