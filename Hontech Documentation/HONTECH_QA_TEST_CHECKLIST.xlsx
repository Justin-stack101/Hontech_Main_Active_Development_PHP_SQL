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Checklist'!$A$4:$I$187</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Checklist'!$A$5:$A$187)</f>
        <v/>
      </c>
    </row>
    <row r="6">
      <c r="A6" s="5" t="inlineStr">
        <is>
          <t>Passed</t>
        </is>
      </c>
      <c r="B6" s="5">
        <f>COUNTIF('QA Checklist'!$H$5:$H$187,"Passed")+COUNTIF('QA Checklist'!$H$5:$H$187,"Pass")</f>
        <v/>
      </c>
    </row>
    <row r="7">
      <c r="A7" s="5" t="inlineStr">
        <is>
          <t>Failed</t>
        </is>
      </c>
      <c r="B7" s="5">
        <f>COUNTIF('QA Checklist'!$H$5:$H$187,"Failed")+COUNTIF('QA Checklist'!$H$5:$H$187,"Fail")</f>
        <v/>
      </c>
    </row>
    <row r="8">
      <c r="A8" s="5" t="inlineStr">
        <is>
          <t>Pending</t>
        </is>
      </c>
      <c r="B8" s="5">
        <f>COUNTIF('QA Checklist'!$H$5:$H$187,"Pending")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Checklist'!$B$5:$B$187,$A12)</f>
        <v/>
      </c>
      <c r="C12" s="5">
        <f>COUNTIFS('QA Checklist'!$B$5:$B$187,$A12,'QA Checklist'!$H$5:$H$187,"Passed")+COUNTIFS('QA Checklist'!$B$5:$B$187,$A12,'QA Checklist'!$H$5:$H$187,"Pass")</f>
        <v/>
      </c>
      <c r="D12" s="5">
        <f>COUNTIFS('QA Checklist'!$B$5:$B$187,$A12,'QA Checklist'!$H$5:$H$187,"Failed")+COUNTIFS('QA Checklist'!$B$5:$B$187,$A12,'QA Checklist'!$H$5:$H$187,"Fail")</f>
        <v/>
      </c>
      <c r="E12" s="5">
        <f>COUNTIFS('QA Checklist'!$B$5:$B$187,$A12,'QA Checklist'!$H$5:$H$187,"Pending")</f>
        <v/>
      </c>
      <c r="F12" s="8">
        <f>IF(B12=0,0,C12/B12)</f>
        <v/>
      </c>
    </row>
    <row r="13">
      <c r="A13" s="5" t="inlineStr">
        <is>
          <t>Assistant Staff</t>
        </is>
      </c>
      <c r="B13" s="5">
        <f>COUNTIF('QA Checklist'!$B$5:$B$187,$A13)</f>
        <v/>
      </c>
      <c r="C13" s="5">
        <f>COUNTIFS('QA Checklist'!$B$5:$B$187,$A13,'QA Checklist'!$H$5:$H$187,"Passed")+COUNTIFS('QA Checklist'!$B$5:$B$187,$A13,'QA Checklist'!$H$5:$H$187,"Pass")</f>
        <v/>
      </c>
      <c r="D13" s="5">
        <f>COUNTIFS('QA Checklist'!$B$5:$B$187,$A13,'QA Checklist'!$H$5:$H$187,"Failed")+COUNTIFS('QA Checklist'!$B$5:$B$187,$A13,'QA Checklist'!$H$5:$H$187,"Fail")</f>
        <v/>
      </c>
      <c r="E13" s="5">
        <f>COUNTIFS('QA Checklist'!$B$5:$B$187,$A13,'QA Checklist'!$H$5:$H$187,"Pending")</f>
        <v/>
      </c>
      <c r="F13" s="8">
        <f>IF(B13=0,0,C13/B13)</f>
        <v/>
      </c>
    </row>
    <row r="14">
      <c r="A14" s="5" t="inlineStr">
        <is>
          <t>Authentication</t>
        </is>
      </c>
      <c r="B14" s="5">
        <f>COUNTIF('QA Checklist'!$B$5:$B$187,$A14)</f>
        <v/>
      </c>
      <c r="C14" s="5">
        <f>COUNTIFS('QA Checklist'!$B$5:$B$187,$A14,'QA Checklist'!$H$5:$H$187,"Passed")+COUNTIFS('QA Checklist'!$B$5:$B$187,$A14,'QA Checklist'!$H$5:$H$187,"Pass")</f>
        <v/>
      </c>
      <c r="D14" s="5">
        <f>COUNTIFS('QA Checklist'!$B$5:$B$187,$A14,'QA Checklist'!$H$5:$H$187,"Failed")+COUNTIFS('QA Checklist'!$B$5:$B$187,$A14,'QA Checklist'!$H$5:$H$187,"Fail")</f>
        <v/>
      </c>
      <c r="E14" s="5">
        <f>COUNTIFS('QA Checklist'!$B$5:$B$187,$A14,'QA Checklist'!$H$5:$H$187,"Pending")</f>
        <v/>
      </c>
      <c r="F14" s="8">
        <f>IF(B14=0,0,C14/B14)</f>
        <v/>
      </c>
    </row>
    <row r="15">
      <c r="A15" s="5" t="inlineStr">
        <is>
          <t>Developer Tooling</t>
        </is>
      </c>
      <c r="B15" s="5">
        <f>COUNTIF('QA Checklist'!$B$5:$B$187,$A15)</f>
        <v/>
      </c>
      <c r="C15" s="5">
        <f>COUNTIFS('QA Checklist'!$B$5:$B$187,$A15,'QA Checklist'!$H$5:$H$187,"Passed")+COUNTIFS('QA Checklist'!$B$5:$B$187,$A15,'QA Checklist'!$H$5:$H$187,"Pass")</f>
        <v/>
      </c>
      <c r="D15" s="5">
        <f>COUNTIFS('QA Checklist'!$B$5:$B$187,$A15,'QA Checklist'!$H$5:$H$187,"Failed")+COUNTIFS('QA Checklist'!$B$5:$B$187,$A15,'QA Checklist'!$H$5:$H$187,"Fail")</f>
        <v/>
      </c>
      <c r="E15" s="5">
        <f>COUNTIFS('QA Checklist'!$B$5:$B$187,$A15,'QA Checklist'!$H$5:$H$187,"Pending")</f>
        <v/>
      </c>
      <c r="F15" s="8">
        <f>IF(B15=0,0,C15/B15)</f>
        <v/>
      </c>
    </row>
    <row r="16">
      <c r="A16" s="5" t="inlineStr">
        <is>
          <t>Diagnostics</t>
        </is>
      </c>
      <c r="B16" s="5">
        <f>COUNTIF('QA Checklist'!$B$5:$B$187,$A16)</f>
        <v/>
      </c>
      <c r="C16" s="5">
        <f>COUNTIFS('QA Checklist'!$B$5:$B$187,$A16,'QA Checklist'!$H$5:$H$187,"Passed")+COUNTIFS('QA Checklist'!$B$5:$B$187,$A16,'QA Checklist'!$H$5:$H$187,"Pass")</f>
        <v/>
      </c>
      <c r="D16" s="5">
        <f>COUNTIFS('QA Checklist'!$B$5:$B$187,$A16,'QA Checklist'!$H$5:$H$187,"Failed")+COUNTIFS('QA Checklist'!$B$5:$B$187,$A16,'QA Checklist'!$H$5:$H$187,"Fail")</f>
        <v/>
      </c>
      <c r="E16" s="5">
        <f>COUNTIFS('QA Checklist'!$B$5:$B$187,$A16,'QA Checklist'!$H$5:$H$187,"Pending")</f>
        <v/>
      </c>
      <c r="F16" s="8">
        <f>IF(B16=0,0,C16/B16)</f>
        <v/>
      </c>
    </row>
    <row r="17">
      <c r="A17" s="5" t="inlineStr">
        <is>
          <t>Owner / Analytics</t>
        </is>
      </c>
      <c r="B17" s="5">
        <f>COUNTIF('QA Checklist'!$B$5:$B$187,$A17)</f>
        <v/>
      </c>
      <c r="C17" s="5">
        <f>COUNTIFS('QA Checklist'!$B$5:$B$187,$A17,'QA Checklist'!$H$5:$H$187,"Passed")+COUNTIFS('QA Checklist'!$B$5:$B$187,$A17,'QA Checklist'!$H$5:$H$187,"Pass")</f>
        <v/>
      </c>
      <c r="D17" s="5">
        <f>COUNTIFS('QA Checklist'!$B$5:$B$187,$A17,'QA Checklist'!$H$5:$H$187,"Failed")+COUNTIFS('QA Checklist'!$B$5:$B$187,$A17,'QA Checklist'!$H$5:$H$187,"Fail")</f>
        <v/>
      </c>
      <c r="E17" s="5">
        <f>COUNTIFS('QA Checklist'!$B$5:$B$187,$A17,'QA Checklist'!$H$5:$H$187,"Pending")</f>
        <v/>
      </c>
      <c r="F17" s="8">
        <f>IF(B17=0,0,C17/B17)</f>
        <v/>
      </c>
    </row>
    <row r="18">
      <c r="A18" s="5" t="inlineStr">
        <is>
          <t>SA 2025 RO Studio</t>
        </is>
      </c>
      <c r="B18" s="5">
        <f>COUNTIF('QA Checklist'!$B$5:$B$187,$A18)</f>
        <v/>
      </c>
      <c r="C18" s="5">
        <f>COUNTIFS('QA Checklist'!$B$5:$B$187,$A18,'QA Checklist'!$H$5:$H$187,"Passed")+COUNTIFS('QA Checklist'!$B$5:$B$187,$A18,'QA Checklist'!$H$5:$H$187,"Pass")</f>
        <v/>
      </c>
      <c r="D18" s="5">
        <f>COUNTIFS('QA Checklist'!$B$5:$B$187,$A18,'QA Checklist'!$H$5:$H$187,"Failed")+COUNTIFS('QA Checklist'!$B$5:$B$187,$A18,'QA Checklist'!$H$5:$H$187,"Fail")</f>
        <v/>
      </c>
      <c r="E18" s="5">
        <f>COUNTIFS('QA Checklist'!$B$5:$B$187,$A18,'QA Checklist'!$H$5:$H$187,"Pending")</f>
        <v/>
      </c>
      <c r="F18" s="8">
        <f>IF(B18=0,0,C18/B18)</f>
        <v/>
      </c>
    </row>
    <row r="19">
      <c r="A19" s="5" t="inlineStr">
        <is>
          <t>Security &amp; RBAC</t>
        </is>
      </c>
      <c r="B19" s="5">
        <f>COUNTIF('QA Checklist'!$B$5:$B$187,$A19)</f>
        <v/>
      </c>
      <c r="C19" s="5">
        <f>COUNTIFS('QA Checklist'!$B$5:$B$187,$A19,'QA Checklist'!$H$5:$H$187,"Passed")+COUNTIFS('QA Checklist'!$B$5:$B$187,$A19,'QA Checklist'!$H$5:$H$187,"Pass")</f>
        <v/>
      </c>
      <c r="D19" s="5">
        <f>COUNTIFS('QA Checklist'!$B$5:$B$187,$A19,'QA Checklist'!$H$5:$H$187,"Failed")+COUNTIFS('QA Checklist'!$B$5:$B$187,$A19,'QA Checklist'!$H$5:$H$187,"Fail")</f>
        <v/>
      </c>
      <c r="E19" s="5">
        <f>COUNTIFS('QA Checklist'!$B$5:$B$187,$A19,'QA Checklist'!$H$5:$H$187,"Pending")</f>
        <v/>
      </c>
      <c r="F19" s="8">
        <f>IF(B19=0,0,C19/B19)</f>
        <v/>
      </c>
    </row>
    <row r="20">
      <c r="A20" s="5" t="inlineStr">
        <is>
          <t>Service Advisor</t>
        </is>
      </c>
      <c r="B20" s="5">
        <f>COUNTIF('QA Checklist'!$B$5:$B$187,$A20)</f>
        <v/>
      </c>
      <c r="C20" s="5">
        <f>COUNTIFS('QA Checklist'!$B$5:$B$187,$A20,'QA Checklist'!$H$5:$H$187,"Passed")+COUNTIFS('QA Checklist'!$B$5:$B$187,$A20,'QA Checklist'!$H$5:$H$187,"Pass")</f>
        <v/>
      </c>
      <c r="D20" s="5">
        <f>COUNTIFS('QA Checklist'!$B$5:$B$187,$A20,'QA Checklist'!$H$5:$H$187,"Failed")+COUNTIFS('QA Checklist'!$B$5:$B$187,$A20,'QA Checklist'!$H$5:$H$187,"Fail")</f>
        <v/>
      </c>
      <c r="E20" s="5">
        <f>COUNTIFS('QA Checklist'!$B$5:$B$187,$A20,'QA Checklist'!$H$5:$H$187,"Pending")</f>
        <v/>
      </c>
      <c r="F20" s="8">
        <f>IF(B20=0,0,C20/B20)</f>
        <v/>
      </c>
    </row>
    <row r="21">
      <c r="A21" s="5" t="inlineStr">
        <is>
          <t>Staff Access</t>
        </is>
      </c>
      <c r="B21" s="5">
        <f>COUNTIF('QA Checklist'!$B$5:$B$187,$A21)</f>
        <v/>
      </c>
      <c r="C21" s="5">
        <f>COUNTIFS('QA Checklist'!$B$5:$B$187,$A21,'QA Checklist'!$H$5:$H$187,"Passed")+COUNTIFS('QA Checklist'!$B$5:$B$187,$A21,'QA Checklist'!$H$5:$H$187,"Pass")</f>
        <v/>
      </c>
      <c r="D21" s="5">
        <f>COUNTIFS('QA Checklist'!$B$5:$B$187,$A21,'QA Checklist'!$H$5:$H$187,"Failed")+COUNTIFS('QA Checklist'!$B$5:$B$187,$A21,'QA Checklist'!$H$5:$H$187,"Fail")</f>
        <v/>
      </c>
      <c r="E21" s="5">
        <f>COUNTIFS('QA Checklist'!$B$5:$B$187,$A21,'QA Checklist'!$H$5:$H$187,"Pending")</f>
        <v/>
      </c>
      <c r="F21" s="8">
        <f>IF(B21=0,0,C21/B21)</f>
        <v/>
      </c>
    </row>
    <row r="22">
      <c r="A22" s="5" t="inlineStr">
        <is>
          <t>TV Monitor</t>
        </is>
      </c>
      <c r="B22" s="5">
        <f>COUNTIF('QA Checklist'!$B$5:$B$187,$A22)</f>
        <v/>
      </c>
      <c r="C22" s="5">
        <f>COUNTIFS('QA Checklist'!$B$5:$B$187,$A22,'QA Checklist'!$H$5:$H$187,"Passed")+COUNTIFS('QA Checklist'!$B$5:$B$187,$A22,'QA Checklist'!$H$5:$H$187,"Pass")</f>
        <v/>
      </c>
      <c r="D22" s="5">
        <f>COUNTIFS('QA Checklist'!$B$5:$B$187,$A22,'QA Checklist'!$H$5:$H$187,"Failed")+COUNTIFS('QA Checklist'!$B$5:$B$187,$A22,'QA Checklist'!$H$5:$H$187,"Fail")</f>
        <v/>
      </c>
      <c r="E22" s="5">
        <f>COUNTIFS('QA Checklist'!$B$5:$B$187,$A22,'QA Checklist'!$H$5:$H$187,"Pending")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Checklist'!$C$5:$C$187,$A26&amp;"*")</f>
        <v/>
      </c>
      <c r="C26" s="5">
        <f>COUNTIFS('QA Checklist'!$C$5:$C$187,$A26&amp;"*",'QA Checklist'!$H$5:$H$187,"Passed")+COUNTIFS('QA Checklist'!$C$5:$C$187,$A26&amp;"*",'QA Checklist'!$H$5:$H$187,"Pass")</f>
        <v/>
      </c>
      <c r="D26" s="5">
        <f>COUNTIFS('QA Checklist'!$C$5:$C$187,$A26&amp;"*",'QA Checklist'!$H$5:$H$187,"Failed")+COUNTIFS('QA Checklist'!$C$5:$C$187,$A26&amp;"*",'QA Checklist'!$H$5:$H$187,"Fail")</f>
        <v/>
      </c>
      <c r="E26" s="5">
        <f>COUNTIFS('QA Checklist'!$C$5:$C$187,$A26&amp;"*",'QA Checklist'!$H$5:$H$187,"Pending")</f>
        <v/>
      </c>
    </row>
    <row r="27">
      <c r="A27" s="5" t="inlineStr">
        <is>
          <t>Tier 2</t>
        </is>
      </c>
      <c r="B27" s="5">
        <f>COUNTIF('QA Checklist'!$C$5:$C$187,$A27&amp;"*")</f>
        <v/>
      </c>
      <c r="C27" s="5">
        <f>COUNTIFS('QA Checklist'!$C$5:$C$187,$A27&amp;"*",'QA Checklist'!$H$5:$H$187,"Passed")+COUNTIFS('QA Checklist'!$C$5:$C$187,$A27&amp;"*",'QA Checklist'!$H$5:$H$187,"Pass")</f>
        <v/>
      </c>
      <c r="D27" s="5">
        <f>COUNTIFS('QA Checklist'!$C$5:$C$187,$A27&amp;"*",'QA Checklist'!$H$5:$H$187,"Failed")+COUNTIFS('QA Checklist'!$C$5:$C$187,$A27&amp;"*",'QA Checklist'!$H$5:$H$187,"Fail")</f>
        <v/>
      </c>
      <c r="E27" s="5">
        <f>COUNTIFS('QA Checklist'!$C$5:$C$187,$A27&amp;"*",'QA Checklist'!$H$5:$H$187,"Pending")</f>
        <v/>
      </c>
    </row>
    <row r="28">
      <c r="A28" s="5" t="inlineStr">
        <is>
          <t>Tier 3</t>
        </is>
      </c>
      <c r="B28" s="5">
        <f>COUNTIF('QA Checklist'!$C$5:$C$187,$A28&amp;"*")</f>
        <v/>
      </c>
      <c r="C28" s="5">
        <f>COUNTIFS('QA Checklist'!$C$5:$C$187,$A28&amp;"*",'QA Checklist'!$H$5:$H$187,"Passed")+COUNTIFS('QA Checklist'!$C$5:$C$187,$A28&amp;"*",'QA Checklist'!$H$5:$H$187,"Pass")</f>
        <v/>
      </c>
      <c r="D28" s="5">
        <f>COUNTIFS('QA Checklist'!$C$5:$C$187,$A28&amp;"*",'QA Checklist'!$H$5:$H$187,"Failed")+COUNTIFS('QA Checklist'!$C$5:$C$187,$A28&amp;"*",'QA Checklist'!$H$5:$H$187,"Fail")</f>
        <v/>
      </c>
      <c r="E28" s="5">
        <f>COUNTIFS('QA Checklist'!$C$5:$C$187,$A28&amp;"*",'QA Checklist'!$H$5:$H$187,"Pending")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87"/>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row r="173">
      <c r="A173" s="12" t="inlineStr">
        <is>
          <t>SA-47</t>
        </is>
      </c>
      <c r="B173" s="13" t="inlineStr">
        <is>
          <t>Service Advisor</t>
        </is>
      </c>
      <c r="C173" s="13" t="inlineStr">
        <is>
          <t>Tier 2 (Workflow &amp; Ergonomics)</t>
        </is>
      </c>
      <c r="D173" s="13" t="inlineStr">
        <is>
          <t>RO Excel Studio Section Header Bands</t>
        </is>
      </c>
      <c r="E173" s="13" t="inlineStr">
        <is>
          <t>Service Advisor</t>
        </is>
      </c>
      <c r="F173" s="13" t="inlineStr">
        <is>
          <t>Log in as Service Advisor, open 2025 RO Excel Studio and view the Job_Order, Quotation_No, Billing_No and CheckList_Result tabs</t>
        </is>
      </c>
      <c r="G173" s="13" t="inlineStr">
        <is>
          <t>Workshop Monitoring &amp; Daily Intakes and every other section title on all four tabs sits on a light blue band with a blue left accent; titles and subtitles are clearly readable; Save Draft, All Pass, Reset, Export and Register buttons keep their original colors</t>
        </is>
      </c>
      <c r="H173" s="14" t="inlineStr">
        <is>
          <t>Passed</t>
        </is>
      </c>
      <c r="I173" s="13" t="inlineStr">
        <is>
          <t>Verified by Automated Unit Tests (159 passing in tests/frontend/sla_and_logic.test.js AUT-FRONT-130) and headless Chrome renders of all four tabs</t>
        </is>
      </c>
    </row>
    <row r="174">
      <c r="A174" s="12" t="inlineStr">
        <is>
          <t>SA-48</t>
        </is>
      </c>
      <c r="B174" s="13" t="inlineStr">
        <is>
          <t>Service Advisor</t>
        </is>
      </c>
      <c r="C174" s="13" t="inlineStr">
        <is>
          <t>Tier 2 (Workflow &amp; Ergonomics)</t>
        </is>
      </c>
      <c r="D174" s="13" t="inlineStr">
        <is>
          <t>Neutral Studio Section Header Bands</t>
        </is>
      </c>
      <c r="E174" s="13" t="inlineStr">
        <is>
          <t>Service Advisor</t>
        </is>
      </c>
      <c r="F174" s="13" t="inlineStr">
        <is>
          <t>Log in as Service Advisor, open 2025 RO Excel Studio and view the Job_Order, Quotation_No, Billing_No and CheckList_Result tabs</t>
        </is>
      </c>
      <c r="G174" s="13" t="inlineStr">
        <is>
          <t>Every section title (including Workshop Monitoring &amp; Daily Intakes) sits on the same light gray band as the CheckList checkpoint groups, with black titles; no blue bands or accents remain; button colors are unchanged</t>
        </is>
      </c>
      <c r="H174" s="14" t="inlineStr">
        <is>
          <t>Passed</t>
        </is>
      </c>
      <c r="I174" s="13" t="inlineStr">
        <is>
          <t>Verified by Automated Unit Tests (160 passing in tests/frontend/sla_and_logic.test.js AUT-FRONT-131) and headless Chrome renders of all four tabs</t>
        </is>
      </c>
    </row>
    <row r="175">
      <c r="A175" s="12" t="inlineStr">
        <is>
          <t>SA-49</t>
        </is>
      </c>
      <c r="B175" s="13" t="inlineStr">
        <is>
          <t>Service Advisor</t>
        </is>
      </c>
      <c r="C175" s="13" t="inlineStr">
        <is>
          <t>Tier 2 (Workflow &amp; Ergonomics)</t>
        </is>
      </c>
      <c r="D175" s="13" t="inlineStr">
        <is>
          <t>Workshop_Monitoring Studio Tab</t>
        </is>
      </c>
      <c r="E175" s="13" t="inlineStr">
        <is>
          <t>Service Advisor</t>
        </is>
      </c>
      <c r="F175" s="13" t="inlineStr">
        <is>
          <t>Log in as Service Advisor, open 2025 RO Excel Studio, fill Customer Name and Plate on Job_Order, open the Workshop_Monitoring tab, change the dispatch fields and press Register Repair Order to System</t>
        </is>
      </c>
      <c r="G175" s="13" t="inlineStr">
        <is>
          <t>Workshop_Monitoring tab appears after CheckList_Result; it holds the Workshop Monitoring &amp; Daily Intakes fields (no longer on Job_Order); the preview shows the Job_Order and monitoring values live and turns Ready when Plate and Customer are filled; Register RO creates the Daily Intakes entry with these values</t>
        </is>
      </c>
      <c r="H175" s="14" t="inlineStr">
        <is>
          <t>Passed</t>
        </is>
      </c>
      <c r="I175" s="13" t="inlineStr">
        <is>
          <t>Verified by Automated Unit Tests (161 passing in tests/frontend/sla_and_logic.test.js AUT-FRONT-132) and headless Chrome tab switch and screenshots</t>
        </is>
      </c>
    </row>
    <row r="176">
      <c r="A176" s="12" t="inlineStr">
        <is>
          <t>SA-50</t>
        </is>
      </c>
      <c r="B176" s="13" t="inlineStr">
        <is>
          <t>Service Advisor</t>
        </is>
      </c>
      <c r="C176" s="13" t="inlineStr">
        <is>
          <t>Tier 2 (Workflow &amp; Ergonomics)</t>
        </is>
      </c>
      <c r="D176" s="13" t="inlineStr">
        <is>
          <t>Workshop_Monitoring First Tab</t>
        </is>
      </c>
      <c r="E176" s="13" t="inlineStr">
        <is>
          <t>Service Advisor</t>
        </is>
      </c>
      <c r="F176" s="13" t="inlineStr">
        <is>
          <t>Log in as Service Advisor, open 2025 RO Excel Studio and look at the tab bar, then click each tab</t>
        </is>
      </c>
      <c r="G176" s="13" t="inlineStr">
        <is>
          <t>Tabs read Workshop_Monitoring, Job_Order, Quotation_No, Billing_No, CheckList_Result from left to right and each opens its own view</t>
        </is>
      </c>
      <c r="H176" s="14" t="inlineStr">
        <is>
          <t>Passed</t>
        </is>
      </c>
      <c r="I176" s="13" t="inlineStr">
        <is>
          <t>Verified by Automated Unit Tests (162 passing in tests/frontend/sla_and_logic.test.js AUT-FRONT-133) and a headless Chrome tab bar render</t>
        </is>
      </c>
    </row>
    <row r="177">
      <c r="A177" s="12" t="inlineStr">
        <is>
          <t>SA-51</t>
        </is>
      </c>
      <c r="B177" s="13" t="inlineStr">
        <is>
          <t>Service Advisor</t>
        </is>
      </c>
      <c r="C177" s="13" t="inlineStr">
        <is>
          <t>Tier 2 (Workflow &amp; Ergonomics)</t>
        </is>
      </c>
      <c r="D177" s="13" t="inlineStr">
        <is>
          <t>Workshop_Monitoring Automatic Branch &amp; Arrival, Plate / Model</t>
        </is>
      </c>
      <c r="E177" s="13" t="inlineStr">
        <is>
          <t>Service Advisor</t>
        </is>
      </c>
      <c r="F177" s="13" t="inlineStr">
        <is>
          <t>Log in as a Marikina SA, open 2025 RO Excel Studio &gt; Workshop_Monitoring, type Plate No. and Model, choose Walk-in or Online Appointment, press Register Repair Order to System and open Daily Intakes; repeat as a Regalado SA</t>
        </is>
      </c>
      <c r="G177" s="13" t="inlineStr">
        <is>
          <t>No Target Branch or Arrival Time fields on the card; Plate No. and Model appear on Job_Order as typed; the new Daily Intakes entry shows the SA branch and the arrival time of the moment Register was pressed, and the chosen source</t>
        </is>
      </c>
      <c r="H177" s="14" t="inlineStr">
        <is>
          <t>Passed</t>
        </is>
      </c>
      <c r="I177" s="13" t="inlineStr">
        <is>
          <t>Verified by Automated Unit Tests (163 passing in tests/frontend/sla_and_logic.test.js AUT-FRONT-134) and a headless Chrome register payload check</t>
        </is>
      </c>
    </row>
    <row r="178">
      <c r="A178" s="12" t="inlineStr">
        <is>
          <t>SA-52</t>
        </is>
      </c>
      <c r="B178" s="13" t="inlineStr">
        <is>
          <t>Service Advisor</t>
        </is>
      </c>
      <c r="C178" s="13" t="inlineStr">
        <is>
          <t>Tier 2 (Workflow &amp; Ergonomics)</t>
        </is>
      </c>
      <c r="D178" s="13" t="inlineStr">
        <is>
          <t>Intake Paper / Claim Stub &amp; Referral Analytics</t>
        </is>
      </c>
      <c r="E178" s="13" t="inlineStr">
        <is>
          <t>Service Advisor</t>
        </is>
      </c>
      <c r="F178" s="13" t="inlineStr">
        <is>
          <t>Log in as SA, open 2025 RO Excel Studio &gt; Workshop_Monitoring, fill Customer, Contact, Plate, Model, Category, Concern and Referred By, leave Arrival on Auto (then set it manually), press Print Claim Stub and Register; log in as Owner / Admin and open Analytics</t>
        </is>
      </c>
      <c r="G178" s="13" t="inlineStr">
        <is>
          <t>No Parts / Bay / Floor Status fields; Arrival follows the clock until edited; the printed paper shows all intake details, the 12-hour arrival, the referral source, reminders with RA 10173 consent, signatures and a tear-off gate pass; the Daily Intakes entry is Waiting with the arrival and referral; Analytics shows the referral channel counts and percentages for the selected period</t>
        </is>
      </c>
      <c r="H178" s="14" t="inlineStr">
        <is>
          <t>Passed</t>
        </is>
      </c>
      <c r="I178" s="13" t="inlineStr">
        <is>
          <t>Verified by Automated Unit Tests (164 passing in tests/frontend/sla_and_logic.test.js AUT-FRONT-135), a backend end-to-end run on the local database and headless Chrome / PDF renders</t>
        </is>
      </c>
    </row>
    <row r="179">
      <c r="A179" s="12" t="inlineStr">
        <is>
          <t>SA-53</t>
        </is>
      </c>
      <c r="B179" s="13" t="inlineStr">
        <is>
          <t>Service Advisor</t>
        </is>
      </c>
      <c r="C179" s="13" t="inlineStr">
        <is>
          <t>Tier 2 (Workflow &amp; Ergonomics)</t>
        </is>
      </c>
      <c r="D179" s="13" t="inlineStr">
        <is>
          <t>Workshop_Monitoring Without Claim Stub Printing</t>
        </is>
      </c>
      <c r="E179" s="13" t="inlineStr">
        <is>
          <t>Service Advisor</t>
        </is>
      </c>
      <c r="F179" s="13" t="inlineStr">
        <is>
          <t>Log in as Service Advisor, open 2025 RO Excel Studio &gt; Workshop_Monitoring and look at the buttons at the bottom of the card</t>
        </is>
      </c>
      <c r="G179" s="13" t="inlineStr">
        <is>
          <t>Only the full-width Register Repair Order to System button is shown; there is no Print Claim Stub button; the Claim Stub ID field is still auto-filled</t>
        </is>
      </c>
      <c r="H179" s="14" t="inlineStr">
        <is>
          <t>Passed</t>
        </is>
      </c>
      <c r="I179" s="13" t="inlineStr">
        <is>
          <t>Verified by Automated Unit Tests (165 passing in tests/frontend/sla_and_logic.test.js AUT-FRONT-136) and a headless Chrome card render</t>
        </is>
      </c>
    </row>
    <row r="180">
      <c r="A180" s="12" t="inlineStr">
        <is>
          <t>SA-54</t>
        </is>
      </c>
      <c r="B180" s="13" t="inlineStr">
        <is>
          <t>Service Advisor</t>
        </is>
      </c>
      <c r="C180" s="13" t="inlineStr">
        <is>
          <t>Tier 2 (Workflow &amp; Ergonomics)</t>
        </is>
      </c>
      <c r="D180" s="13" t="inlineStr">
        <is>
          <t>Centered PDF in Maximized Studio View</t>
        </is>
      </c>
      <c r="E180" s="13" t="inlineStr">
        <is>
          <t>Service Advisor</t>
        </is>
      </c>
      <c r="F180" s="13" t="inlineStr">
        <is>
          <t>Log in as Service Advisor, open 2025 RO Excel Studio, press Maximize PDF on each tab (Job_Order, Quotation_No, Billing_No, CheckList_Result), then press Normal View</t>
        </is>
      </c>
      <c r="G180" s="13" t="inlineStr">
        <is>
          <t>In the maximized view the PDF page is centered in the pane, no new browser tab opens, and Normal View returns to the side-by-side layout with the page still centered</t>
        </is>
      </c>
      <c r="H180" s="14" t="inlineStr">
        <is>
          <t>Passed</t>
        </is>
      </c>
      <c r="I180" s="13" t="inlineStr">
        <is>
          <t>Verified by Automated Unit Tests (166 passing in tests/frontend/sla_and_logic.test.js AUT-FRONT-137) and a headless Chrome centering check</t>
        </is>
      </c>
    </row>
    <row r="181">
      <c r="A181" s="12" t="inlineStr">
        <is>
          <t>SA-55</t>
        </is>
      </c>
      <c r="B181" s="13" t="inlineStr">
        <is>
          <t>Service Advisor</t>
        </is>
      </c>
      <c r="C181" s="13" t="inlineStr">
        <is>
          <t>Tier 2 (Workflow &amp; Ergonomics)</t>
        </is>
      </c>
      <c r="D181" s="13" t="inlineStr">
        <is>
          <t>Maximized Studio PDF Size &amp; Centering</t>
        </is>
      </c>
      <c r="E181" s="13" t="inlineStr">
        <is>
          <t>Service Advisor</t>
        </is>
      </c>
      <c r="F181" s="13" t="inlineStr">
        <is>
          <t>Log in as Service Advisor, open 2025 RO Excel Studio, press Maximize PDF on Job_Order, Quotation_No, Billing_No and CheckList_Result, then Normal View; also press Hide Preview and resize the window</t>
        </is>
      </c>
      <c r="G181" s="13" t="inlineStr">
        <is>
          <t>In the maximized view the PDF page shows at full height and centered (never as a small thumbnail); Normal View and Hide Preview redraw it to fit; no new browser tab opens</t>
        </is>
      </c>
      <c r="H181" s="14" t="inlineStr">
        <is>
          <t>Passed</t>
        </is>
      </c>
      <c r="I181" s="13" t="inlineStr">
        <is>
          <t>Verified by Automated Unit Tests (167 passing in tests/frontend/sla_and_logic.test.js AUT-FRONT-138) and a real-time headless Chrome measurement</t>
        </is>
      </c>
    </row>
    <row r="182">
      <c r="A182" s="12" t="inlineStr">
        <is>
          <t>SA-56</t>
        </is>
      </c>
      <c r="B182" s="13" t="inlineStr">
        <is>
          <t>Service Advisor</t>
        </is>
      </c>
      <c r="C182" s="13" t="inlineStr">
        <is>
          <t>Tier 2 (Workflow &amp; Ergonomics)</t>
        </is>
      </c>
      <c r="D182" s="13" t="inlineStr">
        <is>
          <t>Bigger PDF in Maximized Studio View</t>
        </is>
      </c>
      <c r="E182" s="13" t="inlineStr">
        <is>
          <t>Service Advisor</t>
        </is>
      </c>
      <c r="F182" s="13" t="inlineStr">
        <is>
          <t>Log in as Service Advisor, open 2025 RO Excel Studio, press Maximize PDF on each tab, scroll the document, then press Normal View</t>
        </is>
      </c>
      <c r="G182" s="13" t="inlineStr">
        <is>
          <t>Maximized: the PDF fills the pane width (large, readable) and scrolls vertically; Normal View: the whole page fits beside the form again; no new tab opens</t>
        </is>
      </c>
      <c r="H182" s="14" t="inlineStr">
        <is>
          <t>Passed</t>
        </is>
      </c>
      <c r="I182" s="13" t="inlineStr">
        <is>
          <t>Verified by Automated Unit Tests (168 passing in tests/frontend/sla_and_logic.test.js AUT-FRONT-139) and a real-time headless Chrome screenshot</t>
        </is>
      </c>
    </row>
    <row r="183">
      <c r="A183" s="12" t="inlineStr">
        <is>
          <t>SA-57</t>
        </is>
      </c>
      <c r="B183" s="13" t="inlineStr">
        <is>
          <t>Service Advisor</t>
        </is>
      </c>
      <c r="C183" s="13" t="inlineStr">
        <is>
          <t>Tier 2 (Workflow &amp; Ergonomics)</t>
        </is>
      </c>
      <c r="D183" s="13" t="inlineStr">
        <is>
          <t>Neutral Full PDF Viewer Headers</t>
        </is>
      </c>
      <c r="E183" s="13" t="inlineStr">
        <is>
          <t>Service Advisor</t>
        </is>
      </c>
      <c r="F183" s="13" t="inlineStr">
        <is>
          <t>Log in as Service Advisor, open 2025 RO Excel Studio and press Full PDF on Job_Order, Quotation_No, Billing_No and CheckList_Result; use New Tab, Download PDF, Print and Close</t>
        </is>
      </c>
      <c r="G183" s="13" t="inlineStr">
        <is>
          <t>Each viewer shows the same white neutral header (title, document number, Official PDF view subtitle, white buttons) without colored tiles or pills; all buttons still work</t>
        </is>
      </c>
      <c r="H183" s="14" t="inlineStr">
        <is>
          <t>Passed</t>
        </is>
      </c>
      <c r="I183" s="13" t="inlineStr">
        <is>
          <t>Verified by Automated Unit Tests (169 passing in tests/frontend/sla_and_logic.test.js AUT-FRONT-140) and a headless Chrome render of the headers</t>
        </is>
      </c>
    </row>
    <row r="184">
      <c r="A184" s="12" t="inlineStr">
        <is>
          <t>SA-58</t>
        </is>
      </c>
      <c r="B184" s="13" t="inlineStr">
        <is>
          <t>Service Advisor</t>
        </is>
      </c>
      <c r="C184" s="13" t="inlineStr">
        <is>
          <t>Tier 2 (Workflow &amp; Ergonomics)</t>
        </is>
      </c>
      <c r="D184" s="13" t="inlineStr">
        <is>
          <t>Document Arrows in PDF Views</t>
        </is>
      </c>
      <c r="E184" s="13" t="inlineStr">
        <is>
          <t>Service Advisor</t>
        </is>
      </c>
      <c r="F184" s="13" t="inlineStr">
        <is>
          <t>Log in as Service Advisor, open 2025 RO Excel Studio, use the ‹ › arrows in the PDF toolbar (also with Maximize on), open Full PDF and use its arrows and the Left / Right keys, then close the viewer</t>
        </is>
      </c>
      <c r="G184" s="13" t="inlineStr">
        <is>
          <t>Arrows move Job_Order -&gt; Quotation_No -&gt; Billing_No -&gt; CheckList_Result and wrap around; the n / 4 indicator matches; in Full PDF the next document opens in the viewer and closing it leaves the studio on that document</t>
        </is>
      </c>
      <c r="H184" s="14" t="inlineStr">
        <is>
          <t>Passed</t>
        </is>
      </c>
      <c r="I184" s="13" t="inlineStr">
        <is>
          <t>Verified by Automated Unit Tests (170 passing in tests/frontend/sla_and_logic.test.js AUT-FRONT-141) and a real-time headless Chrome navigation check</t>
        </is>
      </c>
    </row>
    <row r="185">
      <c r="A185" s="12" t="inlineStr">
        <is>
          <t>SA-59</t>
        </is>
      </c>
      <c r="B185" s="13" t="inlineStr">
        <is>
          <t>Service Advisor</t>
        </is>
      </c>
      <c r="C185" s="13" t="inlineStr">
        <is>
          <t>Tier 2 (Workflow &amp; Ergonomics)</t>
        </is>
      </c>
      <c r="D185" s="13" t="inlineStr">
        <is>
          <t>No Print Buttons in PDF Views</t>
        </is>
      </c>
      <c r="E185" s="13" t="inlineStr">
        <is>
          <t>Service Advisor</t>
        </is>
      </c>
      <c r="F185" s="13" t="inlineStr">
        <is>
          <t>Log in as Service Advisor, open 2025 RO Excel Studio, look at the PDF toolbar on each tab (normal and Maximize) and open Full PDF for each document</t>
        </is>
      </c>
      <c r="G185" s="13" t="inlineStr">
        <is>
          <t>No Print Form 1/3 / Print Checklist buttons in the PDF toolbars or Full PDF headers; printing is done from the PDF viewer print button</t>
        </is>
      </c>
      <c r="H185" s="14" t="inlineStr">
        <is>
          <t>Passed</t>
        </is>
      </c>
      <c r="I185" s="13" t="inlineStr">
        <is>
          <t>Verified by Automated Unit Tests (171 passing in tests/frontend/sla_and_logic.test.js AUT-FRONT-142) and a headless Chrome render</t>
        </is>
      </c>
    </row>
    <row r="186">
      <c r="A186" s="12" t="inlineStr">
        <is>
          <t>SA-60</t>
        </is>
      </c>
      <c r="B186" s="13" t="inlineStr">
        <is>
          <t>Service Advisor</t>
        </is>
      </c>
      <c r="C186" s="13" t="inlineStr">
        <is>
          <t>Tier 2 (Workflow &amp; Ergonomics)</t>
        </is>
      </c>
      <c r="D186" s="13" t="inlineStr">
        <is>
          <t>Excel Import Removed</t>
        </is>
      </c>
      <c r="E186" s="13" t="inlineStr">
        <is>
          <t>Service Advisor</t>
        </is>
      </c>
      <c r="F186" s="13" t="inlineStr">
        <is>
          <t>Log in as Service Advisor, open 2025 RO Excel Studio &gt; Job_Order and look at the studio header buttons, then press Export .xlsx</t>
        </is>
      </c>
      <c r="G186" s="13" t="inlineStr">
        <is>
          <t>No Import .xlsx button; Save Draft, Reset Form, Export .xlsx and Register RO still shown and Export .xlsx still downloads the workbook</t>
        </is>
      </c>
      <c r="H186" s="14" t="inlineStr">
        <is>
          <t>Passed</t>
        </is>
      </c>
      <c r="I186" s="13" t="inlineStr">
        <is>
          <t>Verified by Automated Unit Tests (172 passing in tests/frontend/sla_and_logic.test.js AUT-FRONT-143) and a headless Chrome render</t>
        </is>
      </c>
    </row>
    <row r="187">
      <c r="A187" s="12" t="inlineStr">
        <is>
          <t>SA-61</t>
        </is>
      </c>
      <c r="B187" s="13" t="inlineStr">
        <is>
          <t>Service Advisor</t>
        </is>
      </c>
      <c r="C187" s="13" t="inlineStr">
        <is>
          <t>Tier 2 (Workflow &amp; Ergonomics)</t>
        </is>
      </c>
      <c r="D187" s="13" t="inlineStr">
        <is>
          <t>TV Monitor Phase 1: TV Page Loads</t>
        </is>
      </c>
      <c r="E187" s="13" t="inlineStr">
        <is>
          <t>Service Advisor</t>
        </is>
      </c>
      <c r="F187" s="13" t="inlineStr">
        <is>
          <t>Log in as SA, open TV Monitor (Broadcast Hub), start the broadcast, open the shown link on another device or tab and enter the PIN; repeat with the internet disconnected</t>
        </is>
      </c>
      <c r="G187" s="13" t="inlineStr">
        <is>
          <t>The link opens the TV page (no 404), the PIN unlocks it, live jobs appear and the page is fully styled even without internet</t>
        </is>
      </c>
      <c r="H187" s="14" t="inlineStr">
        <is>
          <t>Passed</t>
        </is>
      </c>
      <c r="I187" s="13" t="inlineStr">
        <is>
          <t>Verified by Automated Unit Tests (173 passing in tests/frontend/sla_and_logic.test.js AUT-FRONT-144) and a live XAMPP headless Chrome check</t>
        </is>
      </c>
    </row>
  </sheetData>
  <autoFilter ref="A4:I187"/>
  <mergeCells count="1">
    <mergeCell ref="A2:I2"/>
  </mergeCells>
  <conditionalFormatting sqref="H5:H187">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87">
    <cfRule type="expression" priority="6" dxfId="3">
      <formula>COUNTIF($A$5:$A$187,$A5)&gt;1</formula>
    </cfRule>
  </conditionalFormatting>
  <dataValidations count="1">
    <dataValidation sqref="H5:H187"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2026-09-25T10:26:33Z</dcterms:modified>
</cp:coreProperties>
</file>