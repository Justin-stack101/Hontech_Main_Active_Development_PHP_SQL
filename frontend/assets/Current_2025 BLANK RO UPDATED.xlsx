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b_Order" sheetId="1" r:id="rId4"/>
    <sheet state="visible" name="Quotation_No 1" sheetId="2" r:id="rId5"/>
    <sheet state="visible" name="Quotation_No 2" sheetId="3" r:id="rId6"/>
    <sheet state="visible" name="Quotation_No 3" sheetId="4" r:id="rId7"/>
    <sheet state="visible" name="Billing_No 1" sheetId="5" r:id="rId8"/>
    <sheet state="visible" name="Billing_No 2" sheetId="6" r:id="rId9"/>
    <sheet state="visible" name="CheckList_Result" sheetId="7" r:id="rId10"/>
  </sheets>
  <definedNames>
    <definedName name="valuevx">42.314159</definedName>
    <definedName name="vertex42_copyright">"© 2011-2014 Vertex42 LLC"</definedName>
    <definedName name="vertex42_id">"work-order-template.xlsx"</definedName>
    <definedName name="vertex42_title">"Work Order Form Template"</definedName>
  </definedNames>
  <calcPr/>
  <extLst>
    <ext uri="GoogleSheetsCustomDataVersion2">
      <go:sheetsCustomData xmlns:go="http://customooxmlschemas.google.com/" r:id="rId11" roundtripDataChecksum="51zbvmWCaMiGtIXWgwpv7HIdvU935kyZKkTyehhOhmc="/>
    </ext>
  </extLst>
</workbook>
</file>

<file path=xl/sharedStrings.xml><?xml version="1.0" encoding="utf-8"?>
<sst xmlns="http://schemas.openxmlformats.org/spreadsheetml/2006/main" count="280" uniqueCount="117">
  <si>
    <t>Form 2/3</t>
  </si>
  <si>
    <t>Form 1/3</t>
  </si>
  <si>
    <r>
      <rPr>
        <rFont val="Arial"/>
        <b/>
        <color theme="1"/>
        <sz val="26.0"/>
      </rPr>
      <t xml:space="preserve">QUOTATION </t>
    </r>
    <r>
      <rPr>
        <rFont val="Arial"/>
        <b val="0"/>
        <color theme="1"/>
        <sz val="26.0"/>
      </rPr>
      <t>NO.</t>
    </r>
  </si>
  <si>
    <r>
      <rPr>
        <rFont val="Arial"/>
        <b/>
        <color theme="1"/>
        <sz val="26.0"/>
      </rPr>
      <t xml:space="preserve">QUOTATION </t>
    </r>
    <r>
      <rPr>
        <rFont val="Arial"/>
        <b val="0"/>
        <color theme="1"/>
        <sz val="26.0"/>
      </rPr>
      <t>NO.</t>
    </r>
  </si>
  <si>
    <r>
      <rPr>
        <rFont val="Arial"/>
        <b/>
        <color theme="1"/>
        <sz val="26.0"/>
      </rPr>
      <t xml:space="preserve">JOB ORDER </t>
    </r>
    <r>
      <rPr>
        <rFont val="Arial"/>
        <b val="0"/>
        <color theme="1"/>
        <sz val="26.0"/>
      </rPr>
      <t>NO.</t>
    </r>
  </si>
  <si>
    <r>
      <rPr>
        <rFont val="Arial"/>
        <b/>
        <color theme="1"/>
        <sz val="26.0"/>
      </rPr>
      <t xml:space="preserve">QUOTATION </t>
    </r>
    <r>
      <rPr>
        <rFont val="Arial"/>
        <b val="0"/>
        <color theme="1"/>
        <sz val="26.0"/>
      </rPr>
      <t>NO.</t>
    </r>
  </si>
  <si>
    <t>"Building Trust"</t>
  </si>
  <si>
    <t>Hontech Auto Center</t>
  </si>
  <si>
    <t>70 Bayan Bayanan Ave cor Narra St.</t>
  </si>
  <si>
    <t>DATE:</t>
  </si>
  <si>
    <t>Marikina Heights, Marikina City</t>
  </si>
  <si>
    <t>JOB ORDER NO.:</t>
  </si>
  <si>
    <t>fb.com/hontechautocenter</t>
  </si>
  <si>
    <t>85644550/ 71219124/  09458757441/ 09525065084- VIBER</t>
  </si>
  <si>
    <t>CUSTOMER DETAILS</t>
  </si>
  <si>
    <t>PROMISED DATE:</t>
  </si>
  <si>
    <t>Name                   :</t>
  </si>
  <si>
    <t>Name:</t>
  </si>
  <si>
    <t>Year/Model            :</t>
  </si>
  <si>
    <t>Plate No          :</t>
  </si>
  <si>
    <t>Address               :</t>
  </si>
  <si>
    <t>Plate No:</t>
  </si>
  <si>
    <t>KM Reading           :</t>
  </si>
  <si>
    <t>Intake Date      :</t>
  </si>
  <si>
    <t>Contact No.          :</t>
  </si>
  <si>
    <t>Address:</t>
  </si>
  <si>
    <t>Year/Model:</t>
  </si>
  <si>
    <t>Contact No:</t>
  </si>
  <si>
    <t>Color:</t>
  </si>
  <si>
    <t>Engine No              :</t>
  </si>
  <si>
    <t>Promise Date   :</t>
  </si>
  <si>
    <t xml:space="preserve">   E-Mail Add.          :</t>
  </si>
  <si>
    <t>PARTS/MATERIAL</t>
  </si>
  <si>
    <t>Chassis No.           :</t>
  </si>
  <si>
    <t xml:space="preserve">   Color               :</t>
  </si>
  <si>
    <t>QTY</t>
  </si>
  <si>
    <t>FRT</t>
  </si>
  <si>
    <t>LABOR</t>
  </si>
  <si>
    <t>PARTS</t>
  </si>
  <si>
    <t>MATERALS</t>
  </si>
  <si>
    <t>AMOUNT</t>
  </si>
  <si>
    <r>
      <rPr>
        <rFont val="Arial"/>
        <b/>
        <color theme="1"/>
        <sz val="10.0"/>
      </rPr>
      <t xml:space="preserve">CUSTOMER'S DESCRIPTION OF REQUESTED SERVICE/CONCERN </t>
    </r>
    <r>
      <rPr>
        <rFont val="Arial"/>
        <b val="0"/>
        <i/>
        <color theme="1"/>
        <sz val="10.0"/>
      </rPr>
      <t>(To be filled out by Service Advisor)</t>
    </r>
  </si>
  <si>
    <t>NOTE: To avail of the warranty given for material, parts, and service, owner supplied is discouraged, otherwise a surcharge of 25% of the price of item is automatically applied. The cost of the item/s shall be the current price of Hontech Auto Center, Inc.</t>
  </si>
  <si>
    <t>Interviewed by:</t>
  </si>
  <si>
    <t>Service Advisor</t>
  </si>
  <si>
    <t>AUTHORIZATION</t>
  </si>
  <si>
    <t>I hereby authorize you and your assigned employees to operate the vehicle for purposes of testing, inspection, pick-up or delivery.</t>
  </si>
  <si>
    <t>Customer Name and Signature</t>
  </si>
  <si>
    <t>DIAGNOSTIC RESULT</t>
  </si>
  <si>
    <t>MATERIALS</t>
  </si>
  <si>
    <t>DESCRIPTION</t>
  </si>
  <si>
    <t>UNIT PRICE</t>
  </si>
  <si>
    <t>VAT 12%</t>
  </si>
  <si>
    <t>TOTAL</t>
  </si>
  <si>
    <t>TERMS &amp; CONDITIONS</t>
  </si>
  <si>
    <t>1. This quotation is valid only for 15 days from the date of issuance.</t>
  </si>
  <si>
    <t>2.The details of the estimate provided above are based on our first inspection and do not constitute a guarantee that no further work/parts will be required. The total bill of work will be per the details available on completion of work. Other terms and conditions as applicable.</t>
  </si>
  <si>
    <t>3. Under certain circumstances, Hontech shall not be responsible for any loss or damage to the vehicle including article/s left therein while it is in the premise. Failure to claim your vehicle within the prescribed period shall bear a corresponding storage fee.</t>
  </si>
  <si>
    <t>4. To avail of the warranty given for material, parts, and service, owner supplied is discouraged, otherwise a surcharge of 25% of the price of item/s is automatically applied. The price of the item/s shall be the current price of Hontech Auto Center, Inc.</t>
  </si>
  <si>
    <t>PARTS:</t>
  </si>
  <si>
    <t>MATERIALS:</t>
  </si>
  <si>
    <t>Prepared by:</t>
  </si>
  <si>
    <t>Approved by:</t>
  </si>
  <si>
    <t>SERVICE ADVISOR</t>
  </si>
  <si>
    <t>GENERAL MANAGER / AUTHORIZED OFFICER</t>
  </si>
  <si>
    <t>Diagnosed by:</t>
  </si>
  <si>
    <t>I hereby authorize the above repair work listed in accordance with our agreed discussion or with my authorized representative.</t>
  </si>
  <si>
    <t>Assessed by:</t>
  </si>
  <si>
    <t>Auto Mechanic</t>
  </si>
  <si>
    <t>Parts/Materials Controller</t>
  </si>
  <si>
    <t>CERTIFICATE OF COMPLETION/ACCEPTANCE</t>
  </si>
  <si>
    <t>This is to certify that the aforementioned vehicle was thoroughly inspected/checked/examined and was done in accordance with the agreed recommendation/discussions and satisfaction of the customer</t>
  </si>
  <si>
    <t>THANK YOU FOR TRUSTING HONTECH AUTO CENTER, INC!</t>
  </si>
  <si>
    <t>Recommending Approval:</t>
  </si>
  <si>
    <t>Chief, Auto Mechanic / Authorized AM</t>
  </si>
  <si>
    <t>CONFORME:</t>
  </si>
  <si>
    <t>Concurred by:</t>
  </si>
  <si>
    <t>Customer's Name &amp; Signature</t>
  </si>
  <si>
    <t>General Manager</t>
  </si>
  <si>
    <t>Mahal Naming Mga Kustomer,</t>
  </si>
  <si>
    <t xml:space="preserve">    Para sa inyong seguridad at kapakinabangan ng lahat, pinapayuhan po namin kayong kuni ang lahat ng mahahalagang gamit mula</t>
  </si>
  <si>
    <t>sa inyong sasakyan bago ito ipagkatiwala sa aming mga kawani. Malaki po ang maitutulong ng inyong kooperasyon upang masiguro</t>
  </si>
  <si>
    <t>namin ang mahusay na serbisyo.</t>
  </si>
  <si>
    <t xml:space="preserve">    Maraming salamat po sa inyong patuloy na suporta.</t>
  </si>
  <si>
    <t xml:space="preserve">    Ang Pamunuan</t>
  </si>
  <si>
    <t>Name                      :</t>
  </si>
  <si>
    <t>Plate No./Year/Model :</t>
  </si>
  <si>
    <t>Service Advisor       :</t>
  </si>
  <si>
    <t>Contact                     :</t>
  </si>
  <si>
    <t xml:space="preserve"> 09458757441/ 09525065084- VIBER</t>
  </si>
  <si>
    <t>Date:</t>
  </si>
  <si>
    <t>Claim Stub                :</t>
  </si>
  <si>
    <t>(Please present this to our Service Advisor to claim required documents for the release of your vehicle)</t>
  </si>
  <si>
    <t>Hontech Auto Center, Inc</t>
  </si>
  <si>
    <t>70 Bayan Bayanan Ave. cor Narra St. Marikina Heights, Marikina City</t>
  </si>
  <si>
    <t>Tel #: (8)564-4550/ 71219124</t>
  </si>
  <si>
    <t>Form 3/3</t>
  </si>
  <si>
    <r>
      <rPr>
        <rFont val="Arial"/>
        <b/>
        <color theme="1"/>
        <sz val="26.0"/>
      </rPr>
      <t xml:space="preserve">BILLING </t>
    </r>
    <r>
      <rPr>
        <rFont val="Arial"/>
        <b val="0"/>
        <color theme="1"/>
        <sz val="26.0"/>
      </rPr>
      <t>NO.</t>
    </r>
  </si>
  <si>
    <t>QUOTATION NO.:</t>
  </si>
  <si>
    <t>Name         :</t>
  </si>
  <si>
    <t>Address    :</t>
  </si>
  <si>
    <t>Model/Year:</t>
  </si>
  <si>
    <t>E-Mail Add :</t>
  </si>
  <si>
    <t xml:space="preserve">   Km Reading:</t>
  </si>
  <si>
    <t>This is to bill you in the amount of</t>
  </si>
  <si>
    <t>with the following details described below:</t>
  </si>
  <si>
    <t>Failure to claim vehicle within the prescribed period shall bear a corresponding storage fee. Replaced items/parts/materials from the vehicle within 30 days shall be disposed of  without prior notice.</t>
  </si>
  <si>
    <t>HONTECH MANGEMENT:</t>
  </si>
  <si>
    <t>Thank you for trusting us!</t>
  </si>
  <si>
    <r>
      <rPr>
        <rFont val="Arial"/>
        <b/>
        <color theme="1"/>
        <sz val="26.0"/>
      </rPr>
      <t xml:space="preserve">BILLING </t>
    </r>
    <r>
      <rPr>
        <rFont val="Arial"/>
        <b val="0"/>
        <color theme="1"/>
        <sz val="26.0"/>
      </rPr>
      <t>NO.</t>
    </r>
  </si>
  <si>
    <t>CUSTOMER NAME</t>
  </si>
  <si>
    <t>DATE</t>
  </si>
  <si>
    <t>PLATE NUMBER</t>
  </si>
  <si>
    <t>CHECKLIST RESULT</t>
  </si>
  <si>
    <t>VEHICLE YEAR MODEL</t>
  </si>
  <si>
    <t>TECHNICIAN NAME____________________</t>
  </si>
  <si>
    <t>CUSTOMER SIGNATURE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</si>
</sst>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.00_);_(* \(#,##0.00\);_(* &quot;-&quot;??_);_(@_)"/>
    <numFmt numFmtId="165" formatCode="m/d/yyyy"/>
  </numFmts>
  <fonts count="28">
    <font>
      <sz val="10.0"/>
      <color rgb="FF000000"/>
      <name val="Trebuchet MS"/>
      <scheme val="minor"/>
    </font>
    <font>
      <sz val="10.0"/>
      <color theme="1"/>
      <name val="Arial"/>
    </font>
    <font>
      <sz val="24.0"/>
      <color theme="1"/>
      <name val="Arial"/>
    </font>
    <font>
      <sz val="16.0"/>
      <color theme="1"/>
      <name val="Arial"/>
    </font>
    <font>
      <b/>
      <sz val="26.0"/>
      <color theme="1"/>
      <name val="Arial"/>
    </font>
    <font>
      <b/>
      <sz val="12.0"/>
      <color theme="1"/>
      <name val="Arial"/>
    </font>
    <font>
      <i/>
      <sz val="9.0"/>
      <color theme="1"/>
      <name val="Arial"/>
    </font>
    <font>
      <b/>
      <sz val="10.0"/>
      <color theme="1"/>
      <name val="Arial"/>
    </font>
    <font>
      <b/>
      <sz val="18.0"/>
      <color theme="1"/>
      <name val="Arial"/>
    </font>
    <font>
      <sz val="12.0"/>
      <color theme="1"/>
      <name val="Arial"/>
    </font>
    <font>
      <b/>
      <sz val="11.0"/>
      <color theme="1"/>
      <name val="Arial"/>
    </font>
    <font/>
    <font>
      <b/>
      <sz val="12.0"/>
      <color rgb="FFFF0000"/>
      <name val="Arial"/>
    </font>
    <font>
      <sz val="9.0"/>
      <color theme="1"/>
      <name val="Arial"/>
    </font>
    <font>
      <b/>
      <sz val="9.0"/>
      <color theme="1"/>
      <name val="Arial"/>
    </font>
    <font>
      <sz val="8.0"/>
      <color theme="1"/>
      <name val="Arial"/>
    </font>
    <font>
      <sz val="1.0"/>
      <color theme="1"/>
      <name val="Arial"/>
    </font>
    <font>
      <b/>
      <i/>
      <sz val="9.0"/>
      <color theme="1"/>
      <name val="Arial"/>
    </font>
    <font>
      <u/>
      <sz val="9.0"/>
      <color theme="1"/>
      <name val="Arial"/>
    </font>
    <font>
      <u/>
      <sz val="9.0"/>
      <color theme="1"/>
      <name val="Arial"/>
    </font>
    <font>
      <i/>
      <sz val="12.0"/>
      <color theme="1"/>
      <name val="Arial"/>
    </font>
    <font>
      <i/>
      <sz val="10.0"/>
      <color theme="1"/>
      <name val="Arial"/>
    </font>
    <font>
      <sz val="11.0"/>
      <color theme="1"/>
      <name val="Arial"/>
    </font>
    <font>
      <b/>
      <sz val="11.0"/>
      <color rgb="FFFF0000"/>
      <name val="Arial"/>
    </font>
    <font>
      <sz val="10.0"/>
      <color theme="1"/>
      <name val="Trebuchet MS"/>
    </font>
    <font>
      <b/>
      <sz val="12.0"/>
      <color theme="1"/>
      <name val="Trebuchet MS"/>
    </font>
    <font>
      <b/>
      <sz val="11.0"/>
      <color theme="1"/>
      <name val="Trebuchet MS"/>
    </font>
    <font>
      <b/>
      <sz val="14.0"/>
      <color theme="1"/>
      <name val="Trebuchet MS"/>
    </font>
  </fonts>
  <fills count="6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64">
    <border/>
    <border>
      <bottom style="thin">
        <color rgb="FF00000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left style="medium">
        <color rgb="FF000000"/>
      </left>
      <top style="thin">
        <color rgb="FF000000"/>
      </top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7F7F7F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7F7F7F"/>
      </top>
      <bottom style="thin">
        <color rgb="FF000000"/>
      </bottom>
    </border>
    <border>
      <left style="medium">
        <color rgb="FF000000"/>
      </left>
    </border>
    <border>
      <top style="thin">
        <color rgb="FF7F7F7F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7F7F7F"/>
      </top>
      <bottom style="thin">
        <color rgb="FF000000"/>
      </bottom>
    </border>
    <border>
      <left style="thin">
        <color rgb="FF000000"/>
      </left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top style="thin">
        <color rgb="FF7F7F7F"/>
      </top>
      <bottom style="thin">
        <color rgb="FF7F7F7F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</border>
    <border>
      <right style="thin">
        <color rgb="FF7F7F7F"/>
      </right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7F7F7F"/>
      </left>
      <bottom style="thin">
        <color rgb="FF7F7F7F"/>
      </bottom>
    </border>
    <border>
      <bottom style="thin">
        <color rgb="FF7F7F7F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7F7F7F"/>
      </right>
      <bottom style="thin">
        <color rgb="FF7F7F7F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dotted">
        <color rgb="FF000000"/>
      </top>
    </border>
    <border>
      <right style="thin">
        <color rgb="FF000000"/>
      </right>
    </border>
    <border>
      <left style="thin">
        <color rgb="FF7F7F7F"/>
      </left>
      <right/>
      <top style="thin">
        <color rgb="FF7F7F7F"/>
      </top>
      <bottom/>
    </border>
    <border>
      <left/>
      <right/>
      <top style="thin">
        <color rgb="FF7F7F7F"/>
      </top>
      <bottom/>
    </border>
    <border>
      <left/>
      <right style="thin">
        <color rgb="FF7F7F7F"/>
      </right>
      <top style="thin">
        <color rgb="FF7F7F7F"/>
      </top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/>
      <top/>
      <bottom/>
    </border>
    <border>
      <top/>
      <bottom/>
    </border>
    <border>
      <left/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17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right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right"/>
    </xf>
    <xf borderId="1" fillId="0" fontId="1" numFmtId="0" xfId="0" applyBorder="1" applyFont="1"/>
    <xf borderId="1" fillId="0" fontId="5" numFmtId="0" xfId="0" applyAlignment="1" applyBorder="1" applyFont="1">
      <alignment horizontal="center"/>
    </xf>
    <xf borderId="0" fillId="0" fontId="6" numFmtId="0" xfId="0" applyAlignment="1" applyFont="1">
      <alignment horizontal="left" vertical="center"/>
    </xf>
    <xf borderId="0" fillId="0" fontId="4" numFmtId="0" xfId="0" applyAlignment="1" applyFont="1">
      <alignment horizontal="center"/>
    </xf>
    <xf borderId="0" fillId="0" fontId="7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0" fontId="1" numFmtId="0" xfId="0" applyAlignment="1" applyFont="1">
      <alignment horizontal="left"/>
    </xf>
    <xf borderId="0" fillId="0" fontId="8" numFmtId="0" xfId="0" applyAlignment="1" applyFont="1">
      <alignment horizontal="right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0" fillId="0" fontId="9" numFmtId="0" xfId="0" applyAlignment="1" applyFont="1">
      <alignment horizontal="left" vertical="center"/>
    </xf>
    <xf borderId="0" fillId="0" fontId="7" numFmtId="0" xfId="0" applyAlignment="1" applyFont="1">
      <alignment horizontal="right"/>
    </xf>
    <xf borderId="0" fillId="0" fontId="7" numFmtId="0" xfId="0" applyAlignment="1" applyFont="1">
      <alignment horizontal="right" vertical="center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 shrinkToFit="1" wrapText="0"/>
    </xf>
    <xf borderId="0" fillId="0" fontId="9" numFmtId="0" xfId="0" applyAlignment="1" applyFont="1">
      <alignment horizontal="left"/>
    </xf>
    <xf borderId="4" fillId="2" fontId="10" numFmtId="0" xfId="0" applyAlignment="1" applyBorder="1" applyFill="1" applyFont="1">
      <alignment horizontal="center"/>
    </xf>
    <xf borderId="5" fillId="0" fontId="11" numFmtId="0" xfId="0" applyBorder="1" applyFont="1"/>
    <xf borderId="6" fillId="0" fontId="11" numFmtId="0" xfId="0" applyBorder="1" applyFont="1"/>
    <xf borderId="7" fillId="2" fontId="10" numFmtId="0" xfId="0" applyAlignment="1" applyBorder="1" applyFill="1" applyFont="1">
      <alignment horizontal="center"/>
    </xf>
    <xf borderId="8" fillId="0" fontId="1" numFmtId="0" xfId="0" applyAlignment="1" applyBorder="1" applyFont="1">
      <alignment horizontal="left"/>
    </xf>
    <xf borderId="9" fillId="0" fontId="11" numFmtId="0" xfId="0" applyBorder="1" applyFont="1"/>
    <xf borderId="10" fillId="0" fontId="11" numFmtId="0" xfId="0" applyBorder="1" applyFont="1"/>
    <xf borderId="11" fillId="0" fontId="1" numFmtId="0" xfId="0" applyAlignment="1" applyBorder="1" applyFont="1">
      <alignment horizontal="center"/>
    </xf>
    <xf borderId="11" fillId="0" fontId="11" numFmtId="0" xfId="0" applyBorder="1" applyFont="1"/>
    <xf borderId="12" fillId="0" fontId="1" numFmtId="0" xfId="0" applyAlignment="1" applyBorder="1" applyFont="1">
      <alignment horizontal="left"/>
    </xf>
    <xf borderId="13" fillId="0" fontId="1" numFmtId="0" xfId="0" applyAlignment="1" applyBorder="1" applyFont="1">
      <alignment horizontal="left"/>
    </xf>
    <xf borderId="14" fillId="0" fontId="1" numFmtId="0" xfId="0" applyAlignment="1" applyBorder="1" applyFont="1">
      <alignment horizontal="left"/>
    </xf>
    <xf borderId="15" fillId="0" fontId="1" numFmtId="0" xfId="0" applyAlignment="1" applyBorder="1" applyFont="1">
      <alignment horizontal="center"/>
    </xf>
    <xf borderId="15" fillId="0" fontId="11" numFmtId="0" xfId="0" applyBorder="1" applyFont="1"/>
    <xf borderId="16" fillId="0" fontId="1" numFmtId="0" xfId="0" applyAlignment="1" applyBorder="1" applyFont="1">
      <alignment horizontal="left"/>
    </xf>
    <xf borderId="17" fillId="0" fontId="1" numFmtId="0" xfId="0" applyAlignment="1" applyBorder="1" applyFont="1">
      <alignment horizontal="left"/>
    </xf>
    <xf borderId="18" fillId="0" fontId="1" numFmtId="0" xfId="0" applyAlignment="1" applyBorder="1" applyFont="1">
      <alignment horizontal="left"/>
    </xf>
    <xf borderId="19" fillId="0" fontId="11" numFmtId="0" xfId="0" applyBorder="1" applyFont="1"/>
    <xf borderId="20" fillId="0" fontId="1" numFmtId="0" xfId="0" applyAlignment="1" applyBorder="1" applyFont="1">
      <alignment horizontal="left"/>
    </xf>
    <xf borderId="21" fillId="0" fontId="1" numFmtId="0" xfId="0" applyAlignment="1" applyBorder="1" applyFont="1">
      <alignment horizontal="left"/>
    </xf>
    <xf borderId="1" fillId="0" fontId="1" numFmtId="0" xfId="0" applyAlignment="1" applyBorder="1" applyFont="1">
      <alignment horizontal="left"/>
    </xf>
    <xf borderId="22" fillId="2" fontId="10" numFmtId="0" xfId="0" applyAlignment="1" applyBorder="1" applyFill="1" applyFont="1">
      <alignment horizontal="center"/>
    </xf>
    <xf borderId="14" fillId="0" fontId="11" numFmtId="0" xfId="0" applyBorder="1" applyFont="1"/>
    <xf borderId="21" fillId="0" fontId="1" numFmtId="0" xfId="0" applyBorder="1" applyFont="1"/>
    <xf borderId="3" fillId="2" fontId="10" numFmtId="0" xfId="0" applyAlignment="1" applyBorder="1" applyFill="1" applyFont="1">
      <alignment horizontal="center"/>
    </xf>
    <xf borderId="3" fillId="2" fontId="10" numFmtId="0" xfId="0" applyAlignment="1" applyBorder="1" applyFill="1" applyFont="1">
      <alignment horizontal="center" shrinkToFit="1" wrapText="0"/>
    </xf>
    <xf borderId="22" fillId="0" fontId="1" numFmtId="0" xfId="0" applyAlignment="1" applyBorder="1" applyFont="1">
      <alignment horizontal="left" vertical="top"/>
    </xf>
    <xf borderId="23" fillId="0" fontId="1" numFmtId="0" xfId="0" applyAlignment="1" applyBorder="1" applyFont="1">
      <alignment horizontal="right"/>
    </xf>
    <xf borderId="3" fillId="0" fontId="1" numFmtId="0" xfId="0" applyAlignment="1" applyBorder="1" applyFont="1">
      <alignment horizontal="center"/>
    </xf>
    <xf borderId="24" fillId="0" fontId="1" numFmtId="0" xfId="0" applyAlignment="1" applyBorder="1" applyFont="1">
      <alignment horizontal="left"/>
    </xf>
    <xf borderId="3" fillId="0" fontId="1" numFmtId="4" xfId="0" applyAlignment="1" applyBorder="1" applyFont="1" applyNumberFormat="1">
      <alignment horizontal="center"/>
    </xf>
    <xf borderId="25" fillId="0" fontId="1" numFmtId="0" xfId="0" applyAlignment="1" applyBorder="1" applyFont="1">
      <alignment horizontal="left"/>
    </xf>
    <xf borderId="24" fillId="0" fontId="1" numFmtId="0" xfId="0" applyAlignment="1" applyBorder="1" applyFont="1">
      <alignment horizontal="right"/>
    </xf>
    <xf borderId="24" fillId="0" fontId="1" numFmtId="0" xfId="0" applyBorder="1" applyFont="1"/>
    <xf borderId="25" fillId="0" fontId="1" numFmtId="0" xfId="0" applyAlignment="1" applyBorder="1" applyFont="1">
      <alignment horizontal="right"/>
    </xf>
    <xf borderId="26" fillId="0" fontId="1" numFmtId="0" xfId="0" applyBorder="1" applyFont="1"/>
    <xf borderId="27" fillId="0" fontId="12" numFmtId="0" xfId="0" applyAlignment="1" applyBorder="1" applyFont="1">
      <alignment horizontal="left" vertical="top"/>
    </xf>
    <xf borderId="27" fillId="0" fontId="11" numFmtId="0" xfId="0" applyBorder="1" applyFont="1"/>
    <xf borderId="3" fillId="0" fontId="1" numFmtId="4" xfId="0" applyAlignment="1" applyBorder="1" applyFont="1" applyNumberFormat="1">
      <alignment horizontal="center" vertical="center"/>
    </xf>
    <xf borderId="22" fillId="2" fontId="7" numFmtId="0" xfId="0" applyAlignment="1" applyBorder="1" applyFill="1" applyFont="1">
      <alignment horizontal="center"/>
    </xf>
    <xf borderId="0" fillId="0" fontId="1" numFmtId="164" xfId="0" applyFont="1" applyNumberFormat="1"/>
    <xf borderId="22" fillId="0" fontId="1" numFmtId="0" xfId="0" applyAlignment="1" applyBorder="1" applyFont="1">
      <alignment horizontal="left" shrinkToFit="0" vertical="top" wrapText="1"/>
    </xf>
    <xf borderId="0" fillId="0" fontId="1" numFmtId="0" xfId="0" applyAlignment="1" applyFont="1">
      <alignment horizontal="center" shrinkToFit="0" vertical="top" wrapText="1"/>
    </xf>
    <xf borderId="28" fillId="0" fontId="1" numFmtId="0" xfId="0" applyAlignment="1" applyBorder="1" applyFont="1">
      <alignment horizontal="center" shrinkToFit="0" vertical="top" wrapText="1"/>
    </xf>
    <xf borderId="1" fillId="0" fontId="11" numFmtId="0" xfId="0" applyBorder="1" applyFont="1"/>
    <xf borderId="29" fillId="0" fontId="11" numFmtId="0" xfId="0" applyBorder="1" applyFont="1"/>
    <xf borderId="0" fillId="0" fontId="9" numFmtId="0" xfId="0" applyAlignment="1" applyFont="1">
      <alignment horizontal="center" shrinkToFit="0" vertical="top" wrapText="1"/>
    </xf>
    <xf borderId="0" fillId="0" fontId="7" numFmtId="0" xfId="0" applyAlignment="1" applyFont="1">
      <alignment horizontal="right" shrinkToFit="0" wrapText="1"/>
    </xf>
    <xf borderId="1" fillId="0" fontId="1" numFmtId="0" xfId="0" applyAlignment="1" applyBorder="1" applyFont="1">
      <alignment horizontal="center" shrinkToFit="0" wrapText="1"/>
    </xf>
    <xf borderId="0" fillId="0" fontId="1" numFmtId="0" xfId="0" applyAlignment="1" applyFont="1">
      <alignment shrinkToFit="0" vertical="top" wrapText="1"/>
    </xf>
    <xf borderId="0" fillId="0" fontId="13" numFmtId="0" xfId="0" applyAlignment="1" applyFont="1">
      <alignment horizontal="center"/>
    </xf>
    <xf borderId="0" fillId="0" fontId="13" numFmtId="0" xfId="0" applyFont="1"/>
    <xf borderId="0" fillId="0" fontId="7" numFmtId="0" xfId="0" applyAlignment="1" applyFont="1">
      <alignment horizontal="center"/>
    </xf>
    <xf borderId="0" fillId="0" fontId="1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/>
    </xf>
    <xf borderId="13" fillId="0" fontId="14" numFmtId="0" xfId="0" applyAlignment="1" applyBorder="1" applyFont="1">
      <alignment horizontal="center" vertical="top"/>
    </xf>
    <xf borderId="13" fillId="0" fontId="11" numFmtId="0" xfId="0" applyBorder="1" applyFont="1"/>
    <xf borderId="30" fillId="2" fontId="7" numFmtId="0" xfId="0" applyAlignment="1" applyBorder="1" applyFill="1" applyFont="1">
      <alignment horizontal="center" shrinkToFit="0" vertical="center" wrapText="1"/>
    </xf>
    <xf borderId="31" fillId="0" fontId="11" numFmtId="0" xfId="0" applyBorder="1" applyFont="1"/>
    <xf borderId="32" fillId="2" fontId="7" numFmtId="0" xfId="0" applyAlignment="1" applyBorder="1" applyFill="1" applyFont="1">
      <alignment horizontal="center"/>
    </xf>
    <xf borderId="33" fillId="0" fontId="11" numFmtId="0" xfId="0" applyBorder="1" applyFont="1"/>
    <xf borderId="3" fillId="0" fontId="15" numFmtId="0" xfId="0" applyAlignment="1" applyBorder="1" applyFont="1">
      <alignment horizontal="center"/>
    </xf>
    <xf borderId="22" fillId="0" fontId="7" numFmtId="0" xfId="0" applyAlignment="1" applyBorder="1" applyFont="1">
      <alignment horizontal="left" vertical="top"/>
    </xf>
    <xf borderId="0" fillId="0" fontId="7" numFmtId="0" xfId="0" applyFont="1"/>
    <xf borderId="34" fillId="0" fontId="11" numFmtId="0" xfId="0" applyBorder="1" applyFont="1"/>
    <xf borderId="3" fillId="2" fontId="14" numFmtId="0" xfId="0" applyAlignment="1" applyBorder="1" applyFill="1" applyFont="1">
      <alignment horizontal="center" shrinkToFit="0" vertical="center" wrapText="1"/>
    </xf>
    <xf borderId="3" fillId="2" fontId="7" numFmtId="0" xfId="0" applyAlignment="1" applyBorder="1" applyFill="1" applyFont="1">
      <alignment horizontal="center" shrinkToFit="0" vertical="center" wrapText="1"/>
    </xf>
    <xf borderId="35" fillId="2" fontId="7" numFmtId="0" xfId="0" applyAlignment="1" applyBorder="1" applyFill="1" applyFont="1">
      <alignment horizontal="center" shrinkToFit="0" vertical="center" wrapText="1"/>
    </xf>
    <xf borderId="36" fillId="0" fontId="1" numFmtId="0" xfId="0" applyAlignment="1" applyBorder="1" applyFont="1">
      <alignment horizontal="center"/>
    </xf>
    <xf borderId="3" fillId="0" fontId="1" numFmtId="0" xfId="0" applyBorder="1" applyFont="1"/>
    <xf borderId="3" fillId="0" fontId="1" numFmtId="4" xfId="0" applyBorder="1" applyFont="1" applyNumberFormat="1"/>
    <xf borderId="35" fillId="0" fontId="1" numFmtId="4" xfId="0" applyBorder="1" applyFont="1" applyNumberFormat="1"/>
    <xf borderId="0" fillId="0" fontId="16" numFmtId="0" xfId="0" applyFont="1"/>
    <xf borderId="0" fillId="0" fontId="10" numFmtId="0" xfId="0" applyFont="1"/>
    <xf borderId="3" fillId="3" fontId="7" numFmtId="4" xfId="0" applyBorder="1" applyFill="1" applyFont="1" applyNumberFormat="1"/>
    <xf borderId="37" fillId="4" fontId="7" numFmtId="0" xfId="0" applyAlignment="1" applyBorder="1" applyFill="1" applyFont="1">
      <alignment horizontal="center" vertical="center"/>
    </xf>
    <xf borderId="38" fillId="0" fontId="11" numFmtId="0" xfId="0" applyBorder="1" applyFont="1"/>
    <xf borderId="39" fillId="0" fontId="11" numFmtId="0" xfId="0" applyBorder="1" applyFont="1"/>
    <xf borderId="40" fillId="0" fontId="13" numFmtId="0" xfId="0" applyAlignment="1" applyBorder="1" applyFont="1">
      <alignment horizontal="left" vertical="top"/>
    </xf>
    <xf borderId="0" fillId="0" fontId="13" numFmtId="0" xfId="0" applyAlignment="1" applyFont="1">
      <alignment horizontal="left" vertical="center"/>
    </xf>
    <xf borderId="41" fillId="0" fontId="13" numFmtId="0" xfId="0" applyBorder="1" applyFont="1"/>
    <xf borderId="42" fillId="0" fontId="1" numFmtId="0" xfId="0" applyAlignment="1" applyBorder="1" applyFont="1">
      <alignment horizontal="center"/>
    </xf>
    <xf borderId="43" fillId="0" fontId="11" numFmtId="0" xfId="0" applyBorder="1" applyFont="1"/>
    <xf borderId="44" fillId="0" fontId="1" numFmtId="0" xfId="0" applyBorder="1" applyFont="1"/>
    <xf borderId="40" fillId="0" fontId="13" numFmtId="0" xfId="0" applyAlignment="1" applyBorder="1" applyFont="1">
      <alignment horizontal="left" shrinkToFit="0" vertical="top" wrapText="1"/>
    </xf>
    <xf borderId="44" fillId="0" fontId="1" numFmtId="4" xfId="0" applyBorder="1" applyFont="1" applyNumberFormat="1"/>
    <xf borderId="41" fillId="0" fontId="11" numFmtId="0" xfId="0" applyBorder="1" applyFont="1"/>
    <xf borderId="44" fillId="0" fontId="1" numFmtId="0" xfId="0" applyAlignment="1" applyBorder="1" applyFont="1">
      <alignment horizontal="center"/>
    </xf>
    <xf borderId="40" fillId="0" fontId="11" numFmtId="0" xfId="0" applyBorder="1" applyFont="1"/>
    <xf borderId="44" fillId="0" fontId="1" numFmtId="4" xfId="0" applyAlignment="1" applyBorder="1" applyFont="1" applyNumberFormat="1">
      <alignment horizontal="center"/>
    </xf>
    <xf borderId="45" fillId="0" fontId="1" numFmtId="4" xfId="0" applyBorder="1" applyFont="1" applyNumberFormat="1"/>
    <xf borderId="46" fillId="0" fontId="13" numFmtId="0" xfId="0" applyAlignment="1" applyBorder="1" applyFont="1">
      <alignment horizontal="left" shrinkToFit="0" vertical="top" wrapText="1"/>
    </xf>
    <xf borderId="47" fillId="0" fontId="11" numFmtId="0" xfId="0" applyBorder="1" applyFont="1"/>
    <xf borderId="48" fillId="0" fontId="1" numFmtId="164" xfId="0" applyBorder="1" applyFont="1" applyNumberFormat="1"/>
    <xf borderId="49" fillId="0" fontId="11" numFmtId="0" xfId="0" applyBorder="1" applyFont="1"/>
    <xf borderId="0" fillId="0" fontId="1" numFmtId="0" xfId="0" applyAlignment="1" applyFont="1">
      <alignment vertical="top"/>
    </xf>
    <xf borderId="0" fillId="0" fontId="14" numFmtId="0" xfId="0" applyFont="1"/>
    <xf borderId="0" fillId="0" fontId="14" numFmtId="0" xfId="0" applyAlignment="1" applyFont="1">
      <alignment horizontal="left"/>
    </xf>
    <xf borderId="50" fillId="0" fontId="1" numFmtId="164" xfId="0" applyBorder="1" applyFont="1" applyNumberFormat="1"/>
    <xf borderId="1" fillId="0" fontId="13" numFmtId="0" xfId="0" applyAlignment="1" applyBorder="1" applyFont="1">
      <alignment horizontal="center"/>
    </xf>
    <xf borderId="51" fillId="3" fontId="7" numFmtId="164" xfId="0" applyBorder="1" applyFill="1" applyFont="1" applyNumberFormat="1"/>
    <xf borderId="13" fillId="0" fontId="14" numFmtId="0" xfId="0" applyAlignment="1" applyBorder="1" applyFont="1">
      <alignment horizontal="center"/>
    </xf>
    <xf borderId="0" fillId="0" fontId="17" numFmtId="0" xfId="0" applyFont="1"/>
    <xf borderId="0" fillId="0" fontId="6" numFmtId="0" xfId="0" applyAlignment="1" applyFont="1">
      <alignment horizontal="center" shrinkToFit="0" vertical="center" wrapText="1"/>
    </xf>
    <xf borderId="0" fillId="0" fontId="18" numFmtId="0" xfId="0" applyFont="1"/>
    <xf borderId="0" fillId="0" fontId="1" numFmtId="0" xfId="0" applyAlignment="1" applyFont="1">
      <alignment horizontal="center" vertical="top"/>
    </xf>
    <xf borderId="13" fillId="0" fontId="1" numFmtId="0" xfId="0" applyAlignment="1" applyBorder="1" applyFont="1">
      <alignment horizontal="center" vertical="top"/>
    </xf>
    <xf borderId="1" fillId="0" fontId="19" numFmtId="0" xfId="0" applyAlignment="1" applyBorder="1" applyFont="1">
      <alignment horizontal="center"/>
    </xf>
    <xf borderId="0" fillId="0" fontId="9" numFmtId="0" xfId="0" applyAlignment="1" applyFont="1">
      <alignment horizontal="center" vertical="center"/>
    </xf>
    <xf borderId="0" fillId="0" fontId="14" numFmtId="0" xfId="0" applyAlignment="1" applyFont="1">
      <alignment horizontal="center"/>
    </xf>
    <xf borderId="0" fillId="0" fontId="20" numFmtId="0" xfId="0" applyAlignment="1" applyFont="1">
      <alignment horizontal="center" shrinkToFit="0" vertical="center" wrapText="1"/>
    </xf>
    <xf borderId="0" fillId="0" fontId="21" numFmtId="0" xfId="0" applyAlignment="1" applyFont="1">
      <alignment horizontal="center" vertical="center"/>
    </xf>
    <xf borderId="0" fillId="0" fontId="22" numFmtId="0" xfId="0" applyFont="1"/>
    <xf borderId="1" fillId="0" fontId="22" numFmtId="0" xfId="0" applyAlignment="1" applyBorder="1" applyFont="1">
      <alignment horizontal="center"/>
    </xf>
    <xf borderId="13" fillId="0" fontId="22" numFmtId="0" xfId="0" applyAlignment="1" applyBorder="1" applyFont="1">
      <alignment horizontal="center" vertical="top"/>
    </xf>
    <xf borderId="1" fillId="0" fontId="10" numFmtId="0" xfId="0" applyAlignment="1" applyBorder="1" applyFont="1">
      <alignment horizontal="center"/>
    </xf>
    <xf borderId="52" fillId="0" fontId="22" numFmtId="0" xfId="0" applyBorder="1" applyFont="1"/>
    <xf borderId="52" fillId="0" fontId="22" numFmtId="0" xfId="0" applyAlignment="1" applyBorder="1" applyFont="1">
      <alignment horizontal="center" vertical="top"/>
    </xf>
    <xf borderId="0" fillId="0" fontId="23" numFmtId="0" xfId="0" applyFont="1"/>
    <xf borderId="0" fillId="0" fontId="22" numFmtId="0" xfId="0" applyAlignment="1" applyFont="1">
      <alignment horizontal="center" vertical="top"/>
    </xf>
    <xf borderId="1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vertical="center"/>
    </xf>
    <xf borderId="11" fillId="0" fontId="1" numFmtId="0" xfId="0" applyAlignment="1" applyBorder="1" applyFont="1">
      <alignment vertical="center"/>
    </xf>
    <xf borderId="11" fillId="0" fontId="1" numFmtId="165" xfId="0" applyAlignment="1" applyBorder="1" applyFont="1" applyNumberFormat="1">
      <alignment horizontal="center" vertical="center"/>
    </xf>
    <xf borderId="0" fillId="0" fontId="21" numFmtId="0" xfId="0" applyAlignment="1" applyFont="1">
      <alignment horizontal="center" vertical="top"/>
    </xf>
    <xf borderId="0" fillId="0" fontId="7" numFmtId="0" xfId="0" applyAlignment="1" applyFont="1">
      <alignment horizontal="center" shrinkToFit="0" wrapText="1"/>
    </xf>
    <xf borderId="0" fillId="0" fontId="1" numFmtId="0" xfId="0" applyAlignment="1" applyFont="1">
      <alignment horizontal="center"/>
    </xf>
    <xf borderId="53" fillId="0" fontId="11" numFmtId="0" xfId="0" applyBorder="1" applyFont="1"/>
    <xf borderId="13" fillId="0" fontId="1" numFmtId="0" xfId="0" applyBorder="1" applyFont="1"/>
    <xf borderId="11" fillId="0" fontId="7" numFmtId="3" xfId="0" applyAlignment="1" applyBorder="1" applyFont="1" applyNumberFormat="1">
      <alignment horizontal="center"/>
    </xf>
    <xf borderId="54" fillId="4" fontId="7" numFmtId="0" xfId="0" applyBorder="1" applyFill="1" applyFont="1"/>
    <xf borderId="55" fillId="4" fontId="7" numFmtId="0" xfId="0" applyBorder="1" applyFill="1" applyFont="1"/>
    <xf borderId="56" fillId="4" fontId="7" numFmtId="0" xfId="0" applyBorder="1" applyFill="1" applyFont="1"/>
    <xf borderId="57" fillId="0" fontId="13" numFmtId="0" xfId="0" applyAlignment="1" applyBorder="1" applyFont="1">
      <alignment horizontal="left" shrinkToFit="0" vertical="top" wrapText="1"/>
    </xf>
    <xf borderId="58" fillId="0" fontId="11" numFmtId="0" xfId="0" applyBorder="1" applyFont="1"/>
    <xf borderId="20" fillId="0" fontId="11" numFmtId="0" xfId="0" applyBorder="1" applyFont="1"/>
    <xf borderId="28" fillId="0" fontId="11" numFmtId="0" xfId="0" applyBorder="1" applyFont="1"/>
    <xf borderId="59" fillId="3" fontId="7" numFmtId="4" xfId="0" applyBorder="1" applyFill="1" applyFont="1" applyNumberFormat="1"/>
    <xf borderId="0" fillId="0" fontId="10" numFmtId="0" xfId="0" applyAlignment="1" applyFont="1">
      <alignment horizontal="left" vertical="center"/>
    </xf>
    <xf borderId="0" fillId="0" fontId="10" numFmtId="0" xfId="0" applyAlignment="1" applyFont="1">
      <alignment horizontal="right"/>
    </xf>
    <xf borderId="0" fillId="0" fontId="5" numFmtId="0" xfId="0" applyFont="1"/>
    <xf borderId="0" fillId="0" fontId="5" numFmtId="4" xfId="0" applyFont="1" applyNumberFormat="1"/>
    <xf borderId="60" fillId="5" fontId="24" numFmtId="0" xfId="0" applyBorder="1" applyFill="1" applyFont="1"/>
    <xf borderId="60" fillId="5" fontId="25" numFmtId="0" xfId="0" applyBorder="1" applyFill="1" applyFont="1"/>
    <xf borderId="60" fillId="5" fontId="26" numFmtId="0" xfId="0" applyBorder="1" applyFill="1" applyFont="1"/>
    <xf borderId="61" fillId="5" fontId="24" numFmtId="0" xfId="0" applyBorder="1" applyFill="1" applyFont="1"/>
    <xf borderId="62" fillId="0" fontId="11" numFmtId="0" xfId="0" applyBorder="1" applyFont="1"/>
    <xf borderId="60" fillId="5" fontId="27" numFmtId="0" xfId="0" applyBorder="1" applyFill="1" applyFont="1"/>
    <xf borderId="61" fillId="5" fontId="24" numFmtId="0" xfId="0" applyAlignment="1" applyBorder="1" applyFill="1" applyFont="1">
      <alignment horizontal="center"/>
    </xf>
    <xf borderId="63" fillId="5" fontId="24" numFmtId="0" xfId="0" applyBorder="1" applyFill="1" applyFont="1"/>
    <xf borderId="63" fillId="5" fontId="26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1</xdr:row>
      <xdr:rowOff>28575</xdr:rowOff>
    </xdr:from>
    <xdr:ext cx="1743075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304800</xdr:colOff>
      <xdr:row>73</xdr:row>
      <xdr:rowOff>142875</xdr:rowOff>
    </xdr:from>
    <xdr:ext cx="866775" cy="33337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1</xdr:row>
      <xdr:rowOff>28575</xdr:rowOff>
    </xdr:from>
    <xdr:ext cx="1733550" cy="5048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1</xdr:row>
      <xdr:rowOff>28575</xdr:rowOff>
    </xdr:from>
    <xdr:ext cx="1733550" cy="5048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1</xdr:row>
      <xdr:rowOff>28575</xdr:rowOff>
    </xdr:from>
    <xdr:ext cx="1733550" cy="5048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1</xdr:row>
      <xdr:rowOff>28575</xdr:rowOff>
    </xdr:from>
    <xdr:ext cx="1733550" cy="5048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1</xdr:row>
      <xdr:rowOff>28575</xdr:rowOff>
    </xdr:from>
    <xdr:ext cx="1733550" cy="5048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1</xdr:row>
      <xdr:rowOff>28575</xdr:rowOff>
    </xdr:from>
    <xdr:ext cx="1733550" cy="5048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1</xdr:row>
      <xdr:rowOff>28575</xdr:rowOff>
    </xdr:from>
    <xdr:ext cx="1733550" cy="5048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1</xdr:row>
      <xdr:rowOff>28575</xdr:rowOff>
    </xdr:from>
    <xdr:ext cx="1733550" cy="5048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0</xdr:rowOff>
    </xdr:from>
    <xdr:ext cx="7820025" cy="9810750"/>
    <xdr:pic>
      <xdr:nvPicPr>
        <xdr:cNvPr descr="7298.1.jpg" id="0" name="image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504825</xdr:colOff>
      <xdr:row>0</xdr:row>
      <xdr:rowOff>0</xdr:rowOff>
    </xdr:from>
    <xdr:ext cx="3333750" cy="67627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7</xdr:row>
      <xdr:rowOff>180975</xdr:rowOff>
    </xdr:from>
    <xdr:ext cx="7820025" cy="9820275"/>
    <xdr:pic>
      <xdr:nvPicPr>
        <xdr:cNvPr descr="7298.1.jpg" id="0" name="image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B4E87"/>
      </a:accent1>
      <a:accent2>
        <a:srgbClr val="C04E4E"/>
      </a:accent2>
      <a:accent3>
        <a:srgbClr val="3D8A16"/>
      </a:accent3>
      <a:accent4>
        <a:srgbClr val="7860B4"/>
      </a:accent4>
      <a:accent5>
        <a:srgbClr val="E68422"/>
      </a:accent5>
      <a:accent6>
        <a:srgbClr val="846648"/>
      </a:accent6>
      <a:hlink>
        <a:srgbClr val="4C92AE"/>
      </a:hlink>
      <a:folHlink>
        <a:srgbClr val="4C92AE"/>
      </a:folHlink>
    </a:clrScheme>
    <a:fontScheme name="Sheets">
      <a:majorFont>
        <a:latin typeface="Trebuchet MS"/>
        <a:ea typeface="Trebuchet MS"/>
        <a:cs typeface="Trebuchet MS"/>
      </a:majorFont>
      <a:minorFont>
        <a:latin typeface="Trebuchet MS"/>
        <a:ea typeface="Trebuchet MS"/>
        <a:cs typeface="Trebuchet M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.14"/>
    <col customWidth="1" min="2" max="2" width="18.57"/>
    <col customWidth="1" min="3" max="3" width="14.71"/>
    <col customWidth="1" min="4" max="4" width="13.71"/>
    <col customWidth="1" min="5" max="5" width="5.71"/>
    <col customWidth="1" min="6" max="6" width="11.0"/>
    <col customWidth="1" min="7" max="7" width="19.57"/>
    <col customWidth="1" min="8" max="8" width="14.86"/>
    <col customWidth="1" min="9" max="9" width="5.71"/>
    <col customWidth="1" min="10" max="10" width="15.57"/>
    <col customWidth="1" min="11" max="11" width="14.86"/>
    <col customWidth="1" min="12" max="15" width="9.14"/>
    <col customWidth="1" min="16" max="26" width="9.0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2" t="s">
        <v>1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0.5" customHeight="1">
      <c r="A2" s="1"/>
      <c r="B2" s="1"/>
      <c r="C2" s="1"/>
      <c r="D2" s="4"/>
      <c r="E2" s="4"/>
      <c r="F2" s="4"/>
      <c r="G2" s="4"/>
      <c r="H2" s="4"/>
      <c r="I2" s="1"/>
      <c r="J2" s="5" t="s">
        <v>4</v>
      </c>
      <c r="K2" s="6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9.75" customHeight="1">
      <c r="A3" s="1"/>
      <c r="B3" s="8"/>
      <c r="D3" s="4"/>
      <c r="E3" s="4"/>
      <c r="F3" s="4"/>
      <c r="G3" s="4"/>
      <c r="H3" s="4"/>
      <c r="I3" s="1"/>
      <c r="J3" s="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0" t="s">
        <v>7</v>
      </c>
      <c r="C4" s="12"/>
      <c r="D4" s="12"/>
      <c r="E4" s="12"/>
      <c r="F4" s="12"/>
      <c r="G4" s="1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4"/>
      <c r="B5" s="16" t="s">
        <v>8</v>
      </c>
      <c r="C5" s="15"/>
      <c r="D5" s="15"/>
      <c r="E5" s="15"/>
      <c r="F5" s="15"/>
      <c r="G5" s="15"/>
      <c r="H5" s="14"/>
      <c r="I5" s="14"/>
      <c r="J5" s="18" t="s">
        <v>9</v>
      </c>
      <c r="K5" s="20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5.0" customHeight="1">
      <c r="A6" s="1"/>
      <c r="B6" s="21" t="s">
        <v>10</v>
      </c>
      <c r="C6" s="12"/>
      <c r="D6" s="12"/>
      <c r="E6" s="12"/>
      <c r="F6" s="12"/>
      <c r="G6" s="1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21" t="s">
        <v>12</v>
      </c>
      <c r="C7" s="12"/>
      <c r="D7" s="12"/>
      <c r="E7" s="12"/>
      <c r="F7" s="12"/>
      <c r="G7" s="12"/>
      <c r="H7" s="1"/>
      <c r="I7" s="2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4" t="s">
        <v>13</v>
      </c>
      <c r="C8" s="12"/>
      <c r="D8" s="12"/>
      <c r="E8" s="12"/>
      <c r="F8" s="12"/>
      <c r="G8" s="12"/>
      <c r="H8" s="1"/>
      <c r="I8" s="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22" t="s">
        <v>14</v>
      </c>
      <c r="C9" s="23"/>
      <c r="D9" s="23"/>
      <c r="E9" s="23"/>
      <c r="F9" s="23"/>
      <c r="G9" s="23"/>
      <c r="H9" s="23"/>
      <c r="I9" s="23"/>
      <c r="J9" s="23"/>
      <c r="K9" s="24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26" t="s">
        <v>16</v>
      </c>
      <c r="C10" s="29"/>
      <c r="D10" s="30"/>
      <c r="E10" s="30"/>
      <c r="F10" s="30"/>
      <c r="G10" s="32" t="s">
        <v>18</v>
      </c>
      <c r="H10" s="29"/>
      <c r="I10" s="30"/>
      <c r="J10" s="32" t="s">
        <v>19</v>
      </c>
      <c r="K10" s="33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36" t="s">
        <v>20</v>
      </c>
      <c r="C11" s="29"/>
      <c r="D11" s="30"/>
      <c r="E11" s="30"/>
      <c r="F11" s="30"/>
      <c r="G11" s="12" t="s">
        <v>22</v>
      </c>
      <c r="H11" s="29"/>
      <c r="I11" s="30"/>
      <c r="J11" s="12" t="s">
        <v>23</v>
      </c>
      <c r="K11" s="38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36" t="s">
        <v>24</v>
      </c>
      <c r="C12" s="29"/>
      <c r="D12" s="30"/>
      <c r="E12" s="30"/>
      <c r="F12" s="30"/>
      <c r="G12" s="12" t="s">
        <v>29</v>
      </c>
      <c r="H12" s="29"/>
      <c r="I12" s="30"/>
      <c r="J12" s="12" t="s">
        <v>30</v>
      </c>
      <c r="K12" s="4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36" t="s">
        <v>31</v>
      </c>
      <c r="C13" s="29"/>
      <c r="D13" s="30"/>
      <c r="E13" s="30"/>
      <c r="F13" s="30"/>
      <c r="G13" s="12" t="s">
        <v>33</v>
      </c>
      <c r="H13" s="29"/>
      <c r="I13" s="30"/>
      <c r="J13" s="12" t="s">
        <v>34</v>
      </c>
      <c r="K13" s="45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6.0" customHeight="1">
      <c r="A14" s="1"/>
      <c r="B14" s="49"/>
      <c r="C14" s="51"/>
      <c r="D14" s="51"/>
      <c r="E14" s="51"/>
      <c r="F14" s="51"/>
      <c r="G14" s="53"/>
      <c r="H14" s="54"/>
      <c r="I14" s="55"/>
      <c r="J14" s="56"/>
      <c r="K14" s="5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0" customHeight="1">
      <c r="A15" s="1"/>
      <c r="B15" s="58"/>
      <c r="C15" s="59"/>
      <c r="D15" s="59"/>
      <c r="E15" s="59"/>
      <c r="F15" s="59"/>
      <c r="G15" s="59"/>
      <c r="H15" s="59"/>
      <c r="I15" s="59"/>
      <c r="J15" s="59"/>
      <c r="K15" s="59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61" t="s">
        <v>41</v>
      </c>
      <c r="C16" s="30"/>
      <c r="D16" s="30"/>
      <c r="E16" s="30"/>
      <c r="F16" s="30"/>
      <c r="G16" s="30"/>
      <c r="H16" s="30"/>
      <c r="I16" s="30"/>
      <c r="J16" s="30"/>
      <c r="K16" s="44"/>
      <c r="L16" s="1"/>
      <c r="M16" s="1"/>
      <c r="N16" s="1"/>
      <c r="O16" s="62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87.75" customHeight="1">
      <c r="A17" s="64"/>
      <c r="B17" s="65"/>
      <c r="C17" s="66"/>
      <c r="D17" s="66"/>
      <c r="E17" s="66"/>
      <c r="F17" s="66"/>
      <c r="G17" s="66"/>
      <c r="H17" s="66"/>
      <c r="I17" s="66"/>
      <c r="J17" s="66"/>
      <c r="K17" s="67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</row>
    <row r="18" ht="30.0" customHeight="1">
      <c r="A18" s="1"/>
      <c r="B18" s="68" t="s">
        <v>42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1.0" customHeight="1">
      <c r="A19" s="1"/>
      <c r="B19" s="69" t="s">
        <v>43</v>
      </c>
      <c r="C19" s="70"/>
      <c r="D19" s="66"/>
      <c r="E19" s="71"/>
      <c r="F19" s="71"/>
      <c r="G19" s="71"/>
      <c r="H19" s="12"/>
      <c r="I19" s="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"/>
      <c r="C20" s="72" t="s">
        <v>44</v>
      </c>
      <c r="E20" s="73"/>
      <c r="F20" s="73"/>
      <c r="G20" s="73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74" t="s">
        <v>45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75" t="s">
        <v>46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1"/>
      <c r="C23" s="1"/>
      <c r="D23" s="76" t="str">
        <f>C10</f>
        <v/>
      </c>
      <c r="E23" s="66"/>
      <c r="F23" s="66"/>
      <c r="G23" s="66"/>
      <c r="H23" s="66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1"/>
      <c r="B24" s="1"/>
      <c r="C24" s="73"/>
      <c r="D24" s="77" t="s">
        <v>47</v>
      </c>
      <c r="E24" s="78"/>
      <c r="F24" s="78"/>
      <c r="G24" s="78"/>
      <c r="H24" s="78"/>
      <c r="I24" s="73"/>
      <c r="J24" s="73"/>
      <c r="K24" s="73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79" t="s">
        <v>48</v>
      </c>
      <c r="C25" s="80"/>
      <c r="D25" s="81" t="s">
        <v>38</v>
      </c>
      <c r="E25" s="23"/>
      <c r="F25" s="23"/>
      <c r="G25" s="82"/>
      <c r="H25" s="81" t="s">
        <v>49</v>
      </c>
      <c r="I25" s="23"/>
      <c r="J25" s="23"/>
      <c r="K25" s="24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2.5" customHeight="1">
      <c r="A26" s="85"/>
      <c r="B26" s="86"/>
      <c r="C26" s="67"/>
      <c r="D26" s="87" t="s">
        <v>50</v>
      </c>
      <c r="E26" s="88" t="s">
        <v>35</v>
      </c>
      <c r="F26" s="88" t="s">
        <v>51</v>
      </c>
      <c r="G26" s="88" t="s">
        <v>40</v>
      </c>
      <c r="H26" s="87" t="s">
        <v>50</v>
      </c>
      <c r="I26" s="88" t="s">
        <v>35</v>
      </c>
      <c r="J26" s="88" t="s">
        <v>51</v>
      </c>
      <c r="K26" s="89" t="s">
        <v>40</v>
      </c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ht="12.75" customHeight="1">
      <c r="A27" s="1"/>
      <c r="B27" s="90"/>
      <c r="C27" s="44"/>
      <c r="D27" s="91"/>
      <c r="E27" s="50"/>
      <c r="F27" s="52"/>
      <c r="G27" s="92">
        <f t="shared" ref="G27:G49" si="1">E27*F27</f>
        <v>0</v>
      </c>
      <c r="H27" s="91"/>
      <c r="I27" s="50"/>
      <c r="J27" s="52"/>
      <c r="K27" s="93">
        <f t="shared" ref="K27:K49" si="2">I27*J27</f>
        <v>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90"/>
      <c r="C28" s="44"/>
      <c r="D28" s="91"/>
      <c r="E28" s="50"/>
      <c r="F28" s="52"/>
      <c r="G28" s="92">
        <f t="shared" si="1"/>
        <v>0</v>
      </c>
      <c r="H28" s="91"/>
      <c r="I28" s="50"/>
      <c r="J28" s="52"/>
      <c r="K28" s="93">
        <f t="shared" si="2"/>
        <v>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90"/>
      <c r="C29" s="44"/>
      <c r="D29" s="91"/>
      <c r="E29" s="91"/>
      <c r="F29" s="92"/>
      <c r="G29" s="92">
        <f t="shared" si="1"/>
        <v>0</v>
      </c>
      <c r="H29" s="91"/>
      <c r="I29" s="50"/>
      <c r="J29" s="52"/>
      <c r="K29" s="93">
        <f t="shared" si="2"/>
        <v>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90"/>
      <c r="C30" s="44"/>
      <c r="D30" s="91"/>
      <c r="E30" s="91"/>
      <c r="F30" s="92"/>
      <c r="G30" s="92">
        <f t="shared" si="1"/>
        <v>0</v>
      </c>
      <c r="H30" s="91"/>
      <c r="I30" s="50"/>
      <c r="J30" s="52"/>
      <c r="K30" s="93">
        <f t="shared" si="2"/>
        <v>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90"/>
      <c r="C31" s="44"/>
      <c r="D31" s="91"/>
      <c r="E31" s="91"/>
      <c r="F31" s="92"/>
      <c r="G31" s="92">
        <f t="shared" si="1"/>
        <v>0</v>
      </c>
      <c r="H31" s="91"/>
      <c r="I31" s="50"/>
      <c r="J31" s="52"/>
      <c r="K31" s="93">
        <f t="shared" si="2"/>
        <v>0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90"/>
      <c r="C32" s="44"/>
      <c r="D32" s="91"/>
      <c r="E32" s="91"/>
      <c r="F32" s="92"/>
      <c r="G32" s="92">
        <f t="shared" si="1"/>
        <v>0</v>
      </c>
      <c r="H32" s="91"/>
      <c r="I32" s="50"/>
      <c r="J32" s="52"/>
      <c r="K32" s="93">
        <f t="shared" si="2"/>
        <v>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90"/>
      <c r="C33" s="44"/>
      <c r="D33" s="91"/>
      <c r="E33" s="91"/>
      <c r="F33" s="92"/>
      <c r="G33" s="92">
        <f t="shared" si="1"/>
        <v>0</v>
      </c>
      <c r="H33" s="91"/>
      <c r="I33" s="50"/>
      <c r="J33" s="52"/>
      <c r="K33" s="93">
        <f t="shared" si="2"/>
        <v>0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90"/>
      <c r="C34" s="44"/>
      <c r="D34" s="91"/>
      <c r="E34" s="91"/>
      <c r="F34" s="92"/>
      <c r="G34" s="92">
        <f t="shared" si="1"/>
        <v>0</v>
      </c>
      <c r="H34" s="91"/>
      <c r="I34" s="50"/>
      <c r="J34" s="52"/>
      <c r="K34" s="93">
        <f t="shared" si="2"/>
        <v>0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90"/>
      <c r="C35" s="44"/>
      <c r="D35" s="91"/>
      <c r="E35" s="91"/>
      <c r="F35" s="92"/>
      <c r="G35" s="92">
        <f t="shared" si="1"/>
        <v>0</v>
      </c>
      <c r="H35" s="91"/>
      <c r="I35" s="50"/>
      <c r="J35" s="52"/>
      <c r="K35" s="93">
        <f t="shared" si="2"/>
        <v>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90"/>
      <c r="C36" s="44"/>
      <c r="D36" s="91"/>
      <c r="E36" s="91"/>
      <c r="F36" s="92"/>
      <c r="G36" s="92">
        <f t="shared" si="1"/>
        <v>0</v>
      </c>
      <c r="H36" s="91"/>
      <c r="I36" s="50"/>
      <c r="J36" s="52"/>
      <c r="K36" s="93">
        <f t="shared" si="2"/>
        <v>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90"/>
      <c r="C37" s="44"/>
      <c r="D37" s="91"/>
      <c r="E37" s="91"/>
      <c r="F37" s="92"/>
      <c r="G37" s="92">
        <f t="shared" si="1"/>
        <v>0</v>
      </c>
      <c r="H37" s="91"/>
      <c r="I37" s="50"/>
      <c r="J37" s="52"/>
      <c r="K37" s="93">
        <f t="shared" si="2"/>
        <v>0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90"/>
      <c r="C38" s="44"/>
      <c r="D38" s="91"/>
      <c r="E38" s="91"/>
      <c r="F38" s="92"/>
      <c r="G38" s="92">
        <f t="shared" si="1"/>
        <v>0</v>
      </c>
      <c r="H38" s="91"/>
      <c r="I38" s="50"/>
      <c r="J38" s="52"/>
      <c r="K38" s="93">
        <f t="shared" si="2"/>
        <v>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90"/>
      <c r="C39" s="44"/>
      <c r="D39" s="91"/>
      <c r="E39" s="91"/>
      <c r="F39" s="92"/>
      <c r="G39" s="92">
        <f t="shared" si="1"/>
        <v>0</v>
      </c>
      <c r="H39" s="91"/>
      <c r="I39" s="50"/>
      <c r="J39" s="52"/>
      <c r="K39" s="93">
        <f t="shared" si="2"/>
        <v>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90"/>
      <c r="C40" s="44"/>
      <c r="D40" s="91"/>
      <c r="E40" s="91"/>
      <c r="F40" s="92"/>
      <c r="G40" s="92">
        <f t="shared" si="1"/>
        <v>0</v>
      </c>
      <c r="H40" s="91"/>
      <c r="I40" s="50"/>
      <c r="J40" s="52"/>
      <c r="K40" s="93">
        <f t="shared" si="2"/>
        <v>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90"/>
      <c r="C41" s="44"/>
      <c r="D41" s="91"/>
      <c r="E41" s="91"/>
      <c r="F41" s="92"/>
      <c r="G41" s="92">
        <f t="shared" si="1"/>
        <v>0</v>
      </c>
      <c r="H41" s="91"/>
      <c r="I41" s="50"/>
      <c r="J41" s="52"/>
      <c r="K41" s="93">
        <f t="shared" si="2"/>
        <v>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90"/>
      <c r="C42" s="44"/>
      <c r="D42" s="91"/>
      <c r="E42" s="91"/>
      <c r="F42" s="92"/>
      <c r="G42" s="92">
        <f t="shared" si="1"/>
        <v>0</v>
      </c>
      <c r="H42" s="91"/>
      <c r="I42" s="50"/>
      <c r="J42" s="52"/>
      <c r="K42" s="93">
        <f t="shared" si="2"/>
        <v>0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90"/>
      <c r="C43" s="44"/>
      <c r="D43" s="91"/>
      <c r="E43" s="91"/>
      <c r="F43" s="92"/>
      <c r="G43" s="92">
        <f t="shared" si="1"/>
        <v>0</v>
      </c>
      <c r="H43" s="91"/>
      <c r="I43" s="50"/>
      <c r="J43" s="52"/>
      <c r="K43" s="93">
        <f t="shared" si="2"/>
        <v>0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90"/>
      <c r="C44" s="44"/>
      <c r="D44" s="91"/>
      <c r="E44" s="91"/>
      <c r="F44" s="92"/>
      <c r="G44" s="92">
        <f t="shared" si="1"/>
        <v>0</v>
      </c>
      <c r="H44" s="91"/>
      <c r="I44" s="50"/>
      <c r="J44" s="52"/>
      <c r="K44" s="93">
        <f t="shared" si="2"/>
        <v>0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90"/>
      <c r="C45" s="44"/>
      <c r="D45" s="91"/>
      <c r="E45" s="91"/>
      <c r="F45" s="92"/>
      <c r="G45" s="92">
        <f t="shared" si="1"/>
        <v>0</v>
      </c>
      <c r="H45" s="91"/>
      <c r="I45" s="50"/>
      <c r="J45" s="52"/>
      <c r="K45" s="93">
        <f t="shared" si="2"/>
        <v>0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90"/>
      <c r="C46" s="44"/>
      <c r="D46" s="91"/>
      <c r="E46" s="91"/>
      <c r="F46" s="92"/>
      <c r="G46" s="92">
        <f t="shared" si="1"/>
        <v>0</v>
      </c>
      <c r="H46" s="91"/>
      <c r="I46" s="50"/>
      <c r="J46" s="52"/>
      <c r="K46" s="93">
        <f t="shared" si="2"/>
        <v>0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90"/>
      <c r="C47" s="44"/>
      <c r="D47" s="91"/>
      <c r="E47" s="91"/>
      <c r="F47" s="92"/>
      <c r="G47" s="92">
        <f t="shared" si="1"/>
        <v>0</v>
      </c>
      <c r="H47" s="91"/>
      <c r="I47" s="50"/>
      <c r="J47" s="52"/>
      <c r="K47" s="93">
        <f t="shared" si="2"/>
        <v>0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90"/>
      <c r="C48" s="44"/>
      <c r="D48" s="91"/>
      <c r="E48" s="91"/>
      <c r="F48" s="92"/>
      <c r="G48" s="92">
        <f t="shared" si="1"/>
        <v>0</v>
      </c>
      <c r="H48" s="91"/>
      <c r="I48" s="50"/>
      <c r="J48" s="52"/>
      <c r="K48" s="93">
        <f t="shared" si="2"/>
        <v>0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03"/>
      <c r="C49" s="104"/>
      <c r="D49" s="105"/>
      <c r="E49" s="105"/>
      <c r="F49" s="107"/>
      <c r="G49" s="107">
        <f t="shared" si="1"/>
        <v>0</v>
      </c>
      <c r="H49" s="105"/>
      <c r="I49" s="109"/>
      <c r="J49" s="111"/>
      <c r="K49" s="112">
        <f t="shared" si="2"/>
        <v>0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1"/>
      <c r="C50" s="1"/>
      <c r="D50" s="1"/>
      <c r="E50" s="1"/>
      <c r="F50" s="14" t="s">
        <v>59</v>
      </c>
      <c r="G50" s="115">
        <f>SUM(G27:G49)</f>
        <v>0</v>
      </c>
      <c r="H50" s="117"/>
      <c r="I50" s="1"/>
      <c r="J50" s="1" t="s">
        <v>60</v>
      </c>
      <c r="K50" s="120">
        <f>SUM(K27:K49)</f>
        <v>0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17"/>
      <c r="E51" s="117"/>
      <c r="F51" s="117"/>
      <c r="G51" s="117"/>
      <c r="H51" s="117"/>
      <c r="I51" s="1"/>
      <c r="J51" s="95" t="s">
        <v>53</v>
      </c>
      <c r="K51" s="122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17"/>
      <c r="E52" s="117"/>
      <c r="F52" s="117"/>
      <c r="G52" s="117"/>
      <c r="H52" s="11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85" t="s">
        <v>65</v>
      </c>
      <c r="C53" s="76"/>
      <c r="D53" s="66"/>
      <c r="E53" s="1"/>
      <c r="F53" s="1"/>
      <c r="G53" s="1"/>
      <c r="H53" s="85" t="s">
        <v>67</v>
      </c>
      <c r="I53" s="76"/>
      <c r="J53" s="66"/>
      <c r="K53" s="66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2.5" customHeight="1">
      <c r="A54" s="1"/>
      <c r="B54" s="117"/>
      <c r="C54" s="127" t="s">
        <v>68</v>
      </c>
      <c r="E54" s="117"/>
      <c r="F54" s="117"/>
      <c r="G54" s="117"/>
      <c r="H54" s="117"/>
      <c r="I54" s="128" t="s">
        <v>69</v>
      </c>
      <c r="J54" s="78"/>
      <c r="K54" s="7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0" customHeight="1">
      <c r="A55" s="1"/>
      <c r="B55" s="130" t="s">
        <v>70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6.25" customHeight="1">
      <c r="A56" s="1"/>
      <c r="B56" s="132" t="s">
        <v>71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1.0" customHeight="1">
      <c r="A57" s="134"/>
      <c r="B57" s="134"/>
      <c r="C57" s="95" t="s">
        <v>73</v>
      </c>
      <c r="D57" s="134"/>
      <c r="E57" s="134"/>
      <c r="F57" s="134"/>
      <c r="G57" s="134"/>
      <c r="H57" s="95" t="s">
        <v>62</v>
      </c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4"/>
      <c r="V57" s="134"/>
      <c r="W57" s="134"/>
      <c r="X57" s="134"/>
      <c r="Y57" s="134"/>
      <c r="Z57" s="134"/>
    </row>
    <row r="58" ht="22.5" customHeight="1">
      <c r="A58" s="134"/>
      <c r="B58" s="134"/>
      <c r="C58" s="135"/>
      <c r="D58" s="66"/>
      <c r="E58" s="134"/>
      <c r="F58" s="134"/>
      <c r="G58" s="134"/>
      <c r="H58" s="135"/>
      <c r="I58" s="66"/>
      <c r="J58" s="66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</row>
    <row r="59" ht="21.75" customHeight="1">
      <c r="A59" s="134"/>
      <c r="B59" s="134"/>
      <c r="C59" s="136" t="s">
        <v>44</v>
      </c>
      <c r="D59" s="78"/>
      <c r="E59" s="134"/>
      <c r="F59" s="134"/>
      <c r="G59" s="134"/>
      <c r="H59" s="136" t="s">
        <v>74</v>
      </c>
      <c r="I59" s="78"/>
      <c r="J59" s="78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</row>
    <row r="60" ht="12.0" customHeight="1">
      <c r="A60" s="134"/>
      <c r="B60" s="134"/>
      <c r="C60" s="95" t="s">
        <v>75</v>
      </c>
      <c r="D60" s="95"/>
      <c r="E60" s="134"/>
      <c r="F60" s="134"/>
      <c r="G60" s="134"/>
      <c r="H60" s="95" t="s">
        <v>76</v>
      </c>
      <c r="I60" s="95"/>
      <c r="J60" s="134"/>
      <c r="K60" s="134"/>
      <c r="L60" s="134"/>
      <c r="M60" s="134"/>
      <c r="N60" s="134"/>
      <c r="O60" s="134"/>
      <c r="P60" s="134"/>
      <c r="Q60" s="134"/>
      <c r="R60" s="134"/>
      <c r="S60" s="134"/>
      <c r="T60" s="134"/>
      <c r="U60" s="134"/>
      <c r="V60" s="134"/>
      <c r="W60" s="134"/>
      <c r="X60" s="134"/>
      <c r="Y60" s="134"/>
      <c r="Z60" s="134"/>
    </row>
    <row r="61" ht="24.75" customHeight="1">
      <c r="A61" s="134"/>
      <c r="B61" s="134"/>
      <c r="C61" s="135" t="str">
        <f>C10</f>
        <v/>
      </c>
      <c r="D61" s="66"/>
      <c r="E61" s="134"/>
      <c r="F61" s="134"/>
      <c r="G61" s="134"/>
      <c r="H61" s="137"/>
      <c r="I61" s="66"/>
      <c r="J61" s="66"/>
      <c r="K61" s="134"/>
      <c r="L61" s="134"/>
      <c r="M61" s="134"/>
      <c r="N61" s="134"/>
      <c r="O61" s="134"/>
      <c r="P61" s="134"/>
      <c r="Q61" s="134"/>
      <c r="R61" s="134"/>
      <c r="S61" s="134"/>
      <c r="T61" s="134"/>
      <c r="U61" s="134"/>
      <c r="V61" s="134"/>
      <c r="W61" s="134"/>
      <c r="X61" s="134"/>
      <c r="Y61" s="134"/>
      <c r="Z61" s="134"/>
    </row>
    <row r="62" ht="38.25" customHeight="1">
      <c r="A62" s="134"/>
      <c r="B62" s="134"/>
      <c r="C62" s="136" t="s">
        <v>77</v>
      </c>
      <c r="D62" s="78"/>
      <c r="E62" s="134"/>
      <c r="F62" s="134"/>
      <c r="G62" s="134"/>
      <c r="H62" s="136" t="s">
        <v>78</v>
      </c>
      <c r="I62" s="78"/>
      <c r="J62" s="78"/>
      <c r="K62" s="134"/>
      <c r="L62" s="134"/>
      <c r="M62" s="134"/>
      <c r="N62" s="134"/>
      <c r="O62" s="134"/>
      <c r="P62" s="134"/>
      <c r="Q62" s="134"/>
      <c r="R62" s="134"/>
      <c r="S62" s="134"/>
      <c r="T62" s="134"/>
      <c r="U62" s="134"/>
      <c r="V62" s="134"/>
      <c r="W62" s="134"/>
      <c r="X62" s="134"/>
      <c r="Y62" s="134"/>
      <c r="Z62" s="134"/>
    </row>
    <row r="63" ht="10.5" customHeight="1">
      <c r="A63" s="134"/>
      <c r="B63" s="138"/>
      <c r="C63" s="139"/>
      <c r="D63" s="139"/>
      <c r="E63" s="138"/>
      <c r="F63" s="138"/>
      <c r="G63" s="138"/>
      <c r="H63" s="139"/>
      <c r="I63" s="139"/>
      <c r="J63" s="139"/>
      <c r="K63" s="138"/>
      <c r="L63" s="134"/>
      <c r="M63" s="134"/>
      <c r="N63" s="134"/>
      <c r="O63" s="134"/>
      <c r="P63" s="134"/>
      <c r="Q63" s="134"/>
      <c r="R63" s="134"/>
      <c r="S63" s="134"/>
      <c r="T63" s="134"/>
      <c r="U63" s="134"/>
      <c r="V63" s="134"/>
      <c r="W63" s="134"/>
      <c r="X63" s="134"/>
      <c r="Y63" s="134"/>
      <c r="Z63" s="134"/>
    </row>
    <row r="64" ht="15.0" customHeight="1">
      <c r="A64" s="134"/>
      <c r="B64" s="140" t="s">
        <v>79</v>
      </c>
      <c r="C64" s="141"/>
      <c r="D64" s="141"/>
      <c r="E64" s="134"/>
      <c r="F64" s="134"/>
      <c r="G64" s="134"/>
      <c r="H64" s="141"/>
      <c r="I64" s="141"/>
      <c r="J64" s="141"/>
      <c r="K64" s="134"/>
      <c r="L64" s="134"/>
      <c r="M64" s="134"/>
      <c r="N64" s="134"/>
      <c r="O64" s="134"/>
      <c r="P64" s="134"/>
      <c r="Q64" s="134"/>
      <c r="R64" s="134"/>
      <c r="S64" s="134"/>
      <c r="T64" s="134"/>
      <c r="U64" s="134"/>
      <c r="V64" s="134"/>
      <c r="W64" s="134"/>
      <c r="X64" s="134"/>
      <c r="Y64" s="134"/>
      <c r="Z64" s="134"/>
    </row>
    <row r="65" ht="12.0" customHeight="1">
      <c r="A65" s="134"/>
      <c r="B65" s="140" t="s">
        <v>80</v>
      </c>
      <c r="C65" s="141"/>
      <c r="D65" s="141"/>
      <c r="E65" s="134"/>
      <c r="F65" s="134"/>
      <c r="G65" s="134"/>
      <c r="H65" s="141"/>
      <c r="I65" s="141"/>
      <c r="J65" s="141"/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134"/>
      <c r="V65" s="134"/>
      <c r="W65" s="134"/>
      <c r="X65" s="134"/>
      <c r="Y65" s="134"/>
      <c r="Z65" s="134"/>
    </row>
    <row r="66" ht="12.0" customHeight="1">
      <c r="A66" s="134"/>
      <c r="B66" s="140" t="s">
        <v>81</v>
      </c>
      <c r="C66" s="141"/>
      <c r="D66" s="141"/>
      <c r="E66" s="134"/>
      <c r="F66" s="134"/>
      <c r="G66" s="134"/>
      <c r="H66" s="141"/>
      <c r="I66" s="141"/>
      <c r="J66" s="141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</row>
    <row r="67" ht="12.0" customHeight="1">
      <c r="A67" s="134"/>
      <c r="B67" s="140" t="s">
        <v>82</v>
      </c>
      <c r="C67" s="141"/>
      <c r="D67" s="141"/>
      <c r="E67" s="134"/>
      <c r="F67" s="134"/>
      <c r="G67" s="134"/>
      <c r="H67" s="141"/>
      <c r="I67" s="141"/>
      <c r="J67" s="141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</row>
    <row r="68" ht="12.0" customHeight="1">
      <c r="A68" s="134"/>
      <c r="B68" s="140" t="s">
        <v>83</v>
      </c>
      <c r="C68" s="141"/>
      <c r="D68" s="141"/>
      <c r="E68" s="134"/>
      <c r="F68" s="134"/>
      <c r="G68" s="134"/>
      <c r="H68" s="141"/>
      <c r="I68" s="141"/>
      <c r="J68" s="141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</row>
    <row r="69" ht="12.0" customHeight="1">
      <c r="A69" s="134"/>
      <c r="B69" s="140" t="s">
        <v>84</v>
      </c>
      <c r="C69" s="141"/>
      <c r="D69" s="141"/>
      <c r="E69" s="134"/>
      <c r="F69" s="134"/>
      <c r="G69" s="134"/>
      <c r="H69" s="141"/>
      <c r="I69" s="141"/>
      <c r="J69" s="141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</row>
    <row r="70" ht="19.5" customHeight="1">
      <c r="A70" s="1"/>
      <c r="B70" s="12" t="s">
        <v>85</v>
      </c>
      <c r="C70" s="76" t="str">
        <f>C10</f>
        <v/>
      </c>
      <c r="D70" s="66"/>
      <c r="E70" s="66"/>
      <c r="F70" s="66"/>
      <c r="G70" s="12" t="s">
        <v>86</v>
      </c>
      <c r="H70" s="76" t="str">
        <f>K10</f>
        <v/>
      </c>
      <c r="I70" s="1"/>
      <c r="J70" s="76" t="str">
        <f>H10</f>
        <v/>
      </c>
      <c r="K70" s="66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4"/>
      <c r="B71" s="15" t="s">
        <v>87</v>
      </c>
      <c r="C71" s="142"/>
      <c r="D71" s="30"/>
      <c r="E71" s="30"/>
      <c r="F71" s="30"/>
      <c r="G71" s="15" t="s">
        <v>88</v>
      </c>
      <c r="H71" s="14" t="s">
        <v>89</v>
      </c>
      <c r="I71" s="143"/>
      <c r="J71" s="144"/>
      <c r="K71" s="14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5" t="s">
        <v>90</v>
      </c>
      <c r="C72" s="145" t="str">
        <f>K5</f>
        <v/>
      </c>
      <c r="D72" s="30"/>
      <c r="E72" s="30"/>
      <c r="F72" s="30"/>
      <c r="G72" s="15" t="s">
        <v>91</v>
      </c>
      <c r="H72" s="142" t="str">
        <f>K2</f>
        <v/>
      </c>
      <c r="I72" s="30"/>
      <c r="J72" s="30"/>
      <c r="K72" s="30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8.0" customHeight="1">
      <c r="A74" s="1"/>
      <c r="B74" s="146" t="s">
        <v>92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1"/>
      <c r="B75" s="133" t="s">
        <v>72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74" t="s">
        <v>93</v>
      </c>
      <c r="L76" s="85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47" t="s">
        <v>94</v>
      </c>
      <c r="L77" s="74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74" t="s">
        <v>95</v>
      </c>
      <c r="L78" s="74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0">
    <mergeCell ref="C54:D54"/>
    <mergeCell ref="C58:D58"/>
    <mergeCell ref="C59:D59"/>
    <mergeCell ref="C61:D61"/>
    <mergeCell ref="C62:D62"/>
    <mergeCell ref="C70:F70"/>
    <mergeCell ref="C71:F71"/>
    <mergeCell ref="C72:F72"/>
    <mergeCell ref="B48:C48"/>
    <mergeCell ref="B49:C49"/>
    <mergeCell ref="C53:D53"/>
    <mergeCell ref="I53:K53"/>
    <mergeCell ref="I54:K54"/>
    <mergeCell ref="B55:K55"/>
    <mergeCell ref="B56:K56"/>
    <mergeCell ref="B75:K75"/>
    <mergeCell ref="H76:K76"/>
    <mergeCell ref="H77:K77"/>
    <mergeCell ref="H78:K78"/>
    <mergeCell ref="H58:J58"/>
    <mergeCell ref="H59:J59"/>
    <mergeCell ref="H61:J61"/>
    <mergeCell ref="H62:J62"/>
    <mergeCell ref="J70:K70"/>
    <mergeCell ref="H72:K72"/>
    <mergeCell ref="B74:K74"/>
    <mergeCell ref="B3:C3"/>
    <mergeCell ref="B9:K9"/>
    <mergeCell ref="C10:F10"/>
    <mergeCell ref="H10:I10"/>
    <mergeCell ref="C11:F11"/>
    <mergeCell ref="H11:I11"/>
    <mergeCell ref="H12:I12"/>
    <mergeCell ref="C12:F12"/>
    <mergeCell ref="C13:F13"/>
    <mergeCell ref="H13:I13"/>
    <mergeCell ref="B15:K15"/>
    <mergeCell ref="B16:K16"/>
    <mergeCell ref="B17:K17"/>
    <mergeCell ref="B18:K18"/>
    <mergeCell ref="D25:G25"/>
    <mergeCell ref="H25:K25"/>
    <mergeCell ref="C19:D19"/>
    <mergeCell ref="C20:D20"/>
    <mergeCell ref="B21:K21"/>
    <mergeCell ref="B22:K22"/>
    <mergeCell ref="D23:H23"/>
    <mergeCell ref="D24:H24"/>
    <mergeCell ref="B25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</mergeCells>
  <printOptions horizontalCentered="1"/>
  <pageMargins bottom="0.0" footer="0.0" header="0.0" left="0.7" right="0.7" top="0.2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2.71"/>
    <col customWidth="1" min="2" max="2" width="19.57"/>
    <col customWidth="1" min="3" max="3" width="8.0"/>
    <col customWidth="1" min="4" max="4" width="10.29"/>
    <col customWidth="1" min="5" max="5" width="15.0"/>
    <col customWidth="1" min="6" max="6" width="17.0"/>
    <col customWidth="1" min="7" max="7" width="15.71"/>
    <col customWidth="1" min="8" max="8" width="17.0"/>
    <col customWidth="1" min="9" max="26" width="9.0"/>
  </cols>
  <sheetData>
    <row r="1" ht="12.75" customHeight="1">
      <c r="A1" s="1"/>
      <c r="B1" s="1"/>
      <c r="C1" s="1"/>
      <c r="D1" s="1"/>
      <c r="E1" s="1"/>
      <c r="F1" s="1"/>
      <c r="G1" s="1"/>
      <c r="H1" s="2" t="s">
        <v>0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0.5" customHeight="1">
      <c r="A2" s="1"/>
      <c r="B2" s="1"/>
      <c r="C2" s="3"/>
      <c r="D2" s="3"/>
      <c r="E2" s="1"/>
      <c r="F2" s="1"/>
      <c r="G2" s="5" t="s">
        <v>3</v>
      </c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8" t="s">
        <v>6</v>
      </c>
      <c r="C3" s="3"/>
      <c r="D3" s="3"/>
      <c r="E3" s="1"/>
      <c r="F3" s="1"/>
      <c r="G3" s="5"/>
      <c r="H3" s="9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1" t="s">
        <v>7</v>
      </c>
      <c r="B4" s="11"/>
      <c r="C4" s="3"/>
      <c r="D4" s="3"/>
      <c r="E4" s="1"/>
      <c r="F4" s="1"/>
      <c r="G4" s="1"/>
      <c r="H4" s="1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5" t="s">
        <v>8</v>
      </c>
      <c r="B5" s="12"/>
      <c r="C5" s="12"/>
      <c r="D5" s="1"/>
      <c r="E5" s="1"/>
      <c r="F5" s="1"/>
      <c r="G5" s="17" t="s">
        <v>9</v>
      </c>
      <c r="H5" s="1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2" t="s">
        <v>10</v>
      </c>
      <c r="B6" s="12"/>
      <c r="C6" s="12"/>
      <c r="D6" s="1"/>
      <c r="E6" s="1"/>
      <c r="F6" s="1"/>
      <c r="G6" s="17" t="s">
        <v>11</v>
      </c>
      <c r="H6" s="19" t="str">
        <f>Job_Order!K2</f>
        <v/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2" t="s">
        <v>12</v>
      </c>
      <c r="B7" s="12"/>
      <c r="C7" s="12"/>
      <c r="D7" s="1"/>
      <c r="E7" s="1"/>
      <c r="F7" s="1"/>
      <c r="G7" s="17" t="s">
        <v>15</v>
      </c>
      <c r="H7" s="19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2" t="str">
        <f>Job_Order!B8</f>
        <v>85644550/ 71219124/  09458757441/ 09525065084- VIBER</v>
      </c>
      <c r="B8" s="12"/>
      <c r="C8" s="12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25" t="s">
        <v>14</v>
      </c>
      <c r="B9" s="27"/>
      <c r="C9" s="27"/>
      <c r="D9" s="27"/>
      <c r="E9" s="27"/>
      <c r="F9" s="27"/>
      <c r="G9" s="27"/>
      <c r="H9" s="28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31" t="s">
        <v>17</v>
      </c>
      <c r="B10" s="34" t="str">
        <f>Job_Order!C10</f>
        <v/>
      </c>
      <c r="C10" s="35"/>
      <c r="D10" s="35"/>
      <c r="E10" s="35"/>
      <c r="F10" s="37" t="s">
        <v>21</v>
      </c>
      <c r="G10" s="34" t="str">
        <f>Job_Order!K10</f>
        <v/>
      </c>
      <c r="H10" s="39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40" t="s">
        <v>25</v>
      </c>
      <c r="B11" s="34" t="str">
        <f>Job_Order!C11</f>
        <v/>
      </c>
      <c r="C11" s="35"/>
      <c r="D11" s="35"/>
      <c r="E11" s="35"/>
      <c r="F11" s="12" t="s">
        <v>26</v>
      </c>
      <c r="G11" s="34" t="str">
        <f>Job_Order!H10</f>
        <v/>
      </c>
      <c r="H11" s="39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40" t="s">
        <v>27</v>
      </c>
      <c r="B12" s="34" t="str">
        <f>Job_Order!C12</f>
        <v/>
      </c>
      <c r="C12" s="35"/>
      <c r="D12" s="35"/>
      <c r="E12" s="35"/>
      <c r="F12" s="12" t="s">
        <v>28</v>
      </c>
      <c r="G12" s="34" t="str">
        <f>Job_Order!K13</f>
        <v/>
      </c>
      <c r="H12" s="39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42"/>
      <c r="B13" s="12"/>
      <c r="C13" s="12"/>
      <c r="D13" s="1"/>
      <c r="E13" s="1"/>
      <c r="F13" s="6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43" t="s">
        <v>32</v>
      </c>
      <c r="B14" s="44"/>
      <c r="C14" s="46" t="s">
        <v>35</v>
      </c>
      <c r="D14" s="47" t="s">
        <v>36</v>
      </c>
      <c r="E14" s="47" t="s">
        <v>37</v>
      </c>
      <c r="F14" s="46" t="s">
        <v>38</v>
      </c>
      <c r="G14" s="46" t="s">
        <v>39</v>
      </c>
      <c r="H14" s="46" t="s">
        <v>40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48"/>
      <c r="B15" s="44"/>
      <c r="C15" s="50"/>
      <c r="D15" s="52"/>
      <c r="E15" s="52">
        <f t="shared" ref="E15:E44" si="1">D15*550</f>
        <v>0</v>
      </c>
      <c r="F15" s="52"/>
      <c r="G15" s="52"/>
      <c r="H15" s="60">
        <f t="shared" ref="H15:H44" si="2">E15+F15+G15</f>
        <v>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63"/>
      <c r="B16" s="44"/>
      <c r="C16" s="50"/>
      <c r="D16" s="60"/>
      <c r="E16" s="52">
        <f t="shared" si="1"/>
        <v>0</v>
      </c>
      <c r="F16" s="60"/>
      <c r="G16" s="60"/>
      <c r="H16" s="60">
        <f t="shared" si="2"/>
        <v>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1.25" customHeight="1">
      <c r="A17" s="63"/>
      <c r="B17" s="44"/>
      <c r="C17" s="50"/>
      <c r="D17" s="60"/>
      <c r="E17" s="52">
        <f t="shared" si="1"/>
        <v>0</v>
      </c>
      <c r="F17" s="60"/>
      <c r="G17" s="60"/>
      <c r="H17" s="60">
        <f t="shared" si="2"/>
        <v>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63"/>
      <c r="B18" s="44"/>
      <c r="C18" s="50"/>
      <c r="D18" s="60"/>
      <c r="E18" s="52">
        <f t="shared" si="1"/>
        <v>0</v>
      </c>
      <c r="F18" s="60"/>
      <c r="G18" s="60"/>
      <c r="H18" s="60">
        <f t="shared" si="2"/>
        <v>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0" customHeight="1">
      <c r="A19" s="63"/>
      <c r="B19" s="44"/>
      <c r="C19" s="50"/>
      <c r="D19" s="60"/>
      <c r="E19" s="52">
        <f t="shared" si="1"/>
        <v>0</v>
      </c>
      <c r="F19" s="60"/>
      <c r="G19" s="60"/>
      <c r="H19" s="60">
        <f t="shared" si="2"/>
        <v>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48"/>
      <c r="B20" s="44"/>
      <c r="C20" s="50"/>
      <c r="D20" s="52"/>
      <c r="E20" s="52">
        <f t="shared" si="1"/>
        <v>0</v>
      </c>
      <c r="F20" s="52"/>
      <c r="G20" s="52"/>
      <c r="H20" s="60">
        <f t="shared" si="2"/>
        <v>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48"/>
      <c r="B21" s="44"/>
      <c r="C21" s="50"/>
      <c r="D21" s="52"/>
      <c r="E21" s="52">
        <f t="shared" si="1"/>
        <v>0</v>
      </c>
      <c r="F21" s="52"/>
      <c r="G21" s="52"/>
      <c r="H21" s="52">
        <f t="shared" si="2"/>
        <v>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63"/>
      <c r="B22" s="44"/>
      <c r="C22" s="50"/>
      <c r="D22" s="60"/>
      <c r="E22" s="52">
        <f t="shared" si="1"/>
        <v>0</v>
      </c>
      <c r="F22" s="60"/>
      <c r="G22" s="60"/>
      <c r="H22" s="60">
        <f t="shared" si="2"/>
        <v>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0" customHeight="1">
      <c r="A23" s="63"/>
      <c r="B23" s="44"/>
      <c r="C23" s="50"/>
      <c r="D23" s="60"/>
      <c r="E23" s="52">
        <f t="shared" si="1"/>
        <v>0</v>
      </c>
      <c r="F23" s="60"/>
      <c r="G23" s="60"/>
      <c r="H23" s="60">
        <f t="shared" si="2"/>
        <v>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48"/>
      <c r="B24" s="44"/>
      <c r="C24" s="50"/>
      <c r="D24" s="52"/>
      <c r="E24" s="52">
        <f t="shared" si="1"/>
        <v>0</v>
      </c>
      <c r="F24" s="52"/>
      <c r="G24" s="52"/>
      <c r="H24" s="52">
        <f t="shared" si="2"/>
        <v>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0" customHeight="1">
      <c r="A25" s="63"/>
      <c r="B25" s="44"/>
      <c r="C25" s="50"/>
      <c r="D25" s="60"/>
      <c r="E25" s="52">
        <f t="shared" si="1"/>
        <v>0</v>
      </c>
      <c r="F25" s="60"/>
      <c r="G25" s="60"/>
      <c r="H25" s="60">
        <f t="shared" si="2"/>
        <v>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0" customHeight="1">
      <c r="A26" s="63"/>
      <c r="B26" s="44"/>
      <c r="C26" s="50"/>
      <c r="D26" s="60"/>
      <c r="E26" s="52">
        <f t="shared" si="1"/>
        <v>0</v>
      </c>
      <c r="F26" s="52"/>
      <c r="G26" s="52"/>
      <c r="H26" s="60">
        <f t="shared" si="2"/>
        <v>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48"/>
      <c r="B27" s="44"/>
      <c r="C27" s="50"/>
      <c r="D27" s="52"/>
      <c r="E27" s="52">
        <f t="shared" si="1"/>
        <v>0</v>
      </c>
      <c r="F27" s="52"/>
      <c r="G27" s="52"/>
      <c r="H27" s="52">
        <f t="shared" si="2"/>
        <v>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48"/>
      <c r="B28" s="44"/>
      <c r="C28" s="83"/>
      <c r="D28" s="52"/>
      <c r="E28" s="52">
        <f t="shared" si="1"/>
        <v>0</v>
      </c>
      <c r="F28" s="52"/>
      <c r="G28" s="52"/>
      <c r="H28" s="52">
        <f t="shared" si="2"/>
        <v>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48"/>
      <c r="B29" s="44"/>
      <c r="C29" s="83"/>
      <c r="D29" s="52"/>
      <c r="E29" s="52">
        <f t="shared" si="1"/>
        <v>0</v>
      </c>
      <c r="F29" s="52"/>
      <c r="G29" s="52"/>
      <c r="H29" s="52">
        <f t="shared" si="2"/>
        <v>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84"/>
      <c r="B30" s="44"/>
      <c r="C30" s="50"/>
      <c r="D30" s="52"/>
      <c r="E30" s="52">
        <f t="shared" si="1"/>
        <v>0</v>
      </c>
      <c r="F30" s="52"/>
      <c r="G30" s="52"/>
      <c r="H30" s="60">
        <f t="shared" si="2"/>
        <v>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48"/>
      <c r="B31" s="44"/>
      <c r="C31" s="50"/>
      <c r="D31" s="52"/>
      <c r="E31" s="52">
        <f t="shared" si="1"/>
        <v>0</v>
      </c>
      <c r="F31" s="52"/>
      <c r="G31" s="52"/>
      <c r="H31" s="52">
        <f t="shared" si="2"/>
        <v>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48"/>
      <c r="B32" s="44"/>
      <c r="C32" s="83"/>
      <c r="D32" s="52"/>
      <c r="E32" s="52">
        <f t="shared" si="1"/>
        <v>0</v>
      </c>
      <c r="F32" s="52"/>
      <c r="G32" s="52"/>
      <c r="H32" s="52">
        <f t="shared" si="2"/>
        <v>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48"/>
      <c r="B33" s="44"/>
      <c r="C33" s="83"/>
      <c r="D33" s="52"/>
      <c r="E33" s="52">
        <f t="shared" si="1"/>
        <v>0</v>
      </c>
      <c r="F33" s="52"/>
      <c r="G33" s="52"/>
      <c r="H33" s="52">
        <f t="shared" si="2"/>
        <v>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48"/>
      <c r="B34" s="44"/>
      <c r="C34" s="83"/>
      <c r="D34" s="52"/>
      <c r="E34" s="52">
        <f t="shared" si="1"/>
        <v>0</v>
      </c>
      <c r="F34" s="52"/>
      <c r="G34" s="52"/>
      <c r="H34" s="52">
        <f t="shared" si="2"/>
        <v>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48"/>
      <c r="B35" s="44"/>
      <c r="C35" s="50"/>
      <c r="D35" s="52"/>
      <c r="E35" s="52">
        <f t="shared" si="1"/>
        <v>0</v>
      </c>
      <c r="F35" s="52"/>
      <c r="G35" s="52"/>
      <c r="H35" s="52">
        <f t="shared" si="2"/>
        <v>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48"/>
      <c r="B36" s="44"/>
      <c r="C36" s="50"/>
      <c r="D36" s="52"/>
      <c r="E36" s="52">
        <f t="shared" si="1"/>
        <v>0</v>
      </c>
      <c r="F36" s="52"/>
      <c r="G36" s="52"/>
      <c r="H36" s="52">
        <f t="shared" si="2"/>
        <v>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48"/>
      <c r="B37" s="44"/>
      <c r="C37" s="50"/>
      <c r="D37" s="52"/>
      <c r="E37" s="52">
        <f t="shared" si="1"/>
        <v>0</v>
      </c>
      <c r="F37" s="52"/>
      <c r="G37" s="52"/>
      <c r="H37" s="52">
        <f t="shared" si="2"/>
        <v>0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48"/>
      <c r="B38" s="44"/>
      <c r="C38" s="50"/>
      <c r="D38" s="52"/>
      <c r="E38" s="52">
        <f t="shared" si="1"/>
        <v>0</v>
      </c>
      <c r="F38" s="52"/>
      <c r="G38" s="52"/>
      <c r="H38" s="52">
        <f t="shared" si="2"/>
        <v>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48"/>
      <c r="B39" s="44"/>
      <c r="C39" s="50"/>
      <c r="D39" s="52"/>
      <c r="E39" s="52">
        <f t="shared" si="1"/>
        <v>0</v>
      </c>
      <c r="F39" s="52"/>
      <c r="G39" s="52"/>
      <c r="H39" s="52">
        <f t="shared" si="2"/>
        <v>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48"/>
      <c r="B40" s="44"/>
      <c r="C40" s="50"/>
      <c r="D40" s="52"/>
      <c r="E40" s="52">
        <f t="shared" si="1"/>
        <v>0</v>
      </c>
      <c r="F40" s="52"/>
      <c r="G40" s="52"/>
      <c r="H40" s="52">
        <f t="shared" si="2"/>
        <v>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48"/>
      <c r="B41" s="44"/>
      <c r="C41" s="50"/>
      <c r="D41" s="52"/>
      <c r="E41" s="52">
        <f t="shared" si="1"/>
        <v>0</v>
      </c>
      <c r="F41" s="52"/>
      <c r="G41" s="52"/>
      <c r="H41" s="52">
        <f t="shared" si="2"/>
        <v>0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48"/>
      <c r="B42" s="44"/>
      <c r="C42" s="50"/>
      <c r="D42" s="52"/>
      <c r="E42" s="52">
        <f t="shared" si="1"/>
        <v>0</v>
      </c>
      <c r="F42" s="52"/>
      <c r="G42" s="52"/>
      <c r="H42" s="52">
        <f t="shared" si="2"/>
        <v>0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48"/>
      <c r="B43" s="44"/>
      <c r="C43" s="50"/>
      <c r="D43" s="52"/>
      <c r="E43" s="52">
        <f t="shared" si="1"/>
        <v>0</v>
      </c>
      <c r="F43" s="52"/>
      <c r="G43" s="52"/>
      <c r="H43" s="52">
        <f t="shared" si="2"/>
        <v>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48"/>
      <c r="B44" s="44"/>
      <c r="C44" s="50"/>
      <c r="D44" s="52"/>
      <c r="E44" s="52">
        <f t="shared" si="1"/>
        <v>0</v>
      </c>
      <c r="F44" s="52"/>
      <c r="G44" s="52"/>
      <c r="H44" s="52">
        <f t="shared" si="2"/>
        <v>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94"/>
      <c r="F45" s="1"/>
      <c r="G45" s="1" t="s">
        <v>37</v>
      </c>
      <c r="H45" s="92">
        <f>SUM(E15:E44)</f>
        <v>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94"/>
      <c r="F46" s="1"/>
      <c r="G46" s="1" t="s">
        <v>52</v>
      </c>
      <c r="H46" s="92">
        <f>(H45*12%)</f>
        <v>0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 t="s">
        <v>49</v>
      </c>
      <c r="H47" s="92">
        <f>SUM(G15:G44)</f>
        <v>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 t="s">
        <v>38</v>
      </c>
      <c r="H48" s="92">
        <f>SUM(F15:F44)</f>
        <v>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95" t="s">
        <v>53</v>
      </c>
      <c r="H49" s="96">
        <f>SUM(H45:H48)</f>
        <v>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hidden="1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33.0" customHeight="1">
      <c r="A54" s="97" t="s">
        <v>54</v>
      </c>
      <c r="B54" s="98"/>
      <c r="C54" s="98"/>
      <c r="D54" s="98"/>
      <c r="E54" s="98"/>
      <c r="F54" s="98"/>
      <c r="G54" s="98"/>
      <c r="H54" s="99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6.5" customHeight="1">
      <c r="A55" s="100" t="s">
        <v>55</v>
      </c>
      <c r="F55" s="101"/>
      <c r="G55" s="73"/>
      <c r="H55" s="10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06" t="s">
        <v>56</v>
      </c>
      <c r="H56" s="108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7.25" customHeight="1">
      <c r="A57" s="110"/>
      <c r="H57" s="108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32.25" customHeight="1">
      <c r="A58" s="106" t="s">
        <v>57</v>
      </c>
      <c r="H58" s="108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106" t="s">
        <v>58</v>
      </c>
      <c r="H59" s="108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75" customHeight="1">
      <c r="A60" s="113"/>
      <c r="B60" s="114"/>
      <c r="C60" s="114"/>
      <c r="D60" s="114"/>
      <c r="E60" s="114"/>
      <c r="F60" s="114"/>
      <c r="G60" s="114"/>
      <c r="H60" s="116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118" t="s">
        <v>61</v>
      </c>
      <c r="B61" s="73"/>
      <c r="C61" s="73"/>
      <c r="D61" s="73"/>
      <c r="E61" s="73"/>
      <c r="F61" s="119" t="s">
        <v>62</v>
      </c>
      <c r="G61" s="73"/>
      <c r="H61" s="73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36.75" customHeight="1">
      <c r="A62" s="121"/>
      <c r="B62" s="66"/>
      <c r="C62" s="66"/>
      <c r="D62" s="73"/>
      <c r="E62" s="73"/>
      <c r="F62" s="121"/>
      <c r="G62" s="66"/>
      <c r="H62" s="66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23" t="s">
        <v>63</v>
      </c>
      <c r="B63" s="78"/>
      <c r="C63" s="78"/>
      <c r="D63" s="124"/>
      <c r="E63" s="124"/>
      <c r="F63" s="123" t="s">
        <v>64</v>
      </c>
      <c r="G63" s="78"/>
      <c r="H63" s="78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0" customHeight="1">
      <c r="A64" s="125" t="s">
        <v>66</v>
      </c>
      <c r="H64" s="108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9.25" customHeight="1">
      <c r="A65" s="126"/>
      <c r="B65" s="126"/>
      <c r="C65" s="129" t="str">
        <f>B10</f>
        <v/>
      </c>
      <c r="D65" s="66"/>
      <c r="E65" s="66"/>
      <c r="F65" s="66"/>
      <c r="G65" s="126"/>
      <c r="H65" s="126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31" t="s">
        <v>47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37.5" customHeight="1">
      <c r="A67" s="133" t="s">
        <v>72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3">
    <mergeCell ref="A3:B3"/>
    <mergeCell ref="A9:H9"/>
    <mergeCell ref="B10:E10"/>
    <mergeCell ref="G10:H10"/>
    <mergeCell ref="B11:E11"/>
    <mergeCell ref="G11:H11"/>
    <mergeCell ref="G12:H12"/>
    <mergeCell ref="B12:E12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54:H54"/>
    <mergeCell ref="A55:E55"/>
    <mergeCell ref="A56:H57"/>
    <mergeCell ref="A64:H64"/>
    <mergeCell ref="C65:F65"/>
    <mergeCell ref="A66:H66"/>
    <mergeCell ref="A67:H68"/>
    <mergeCell ref="A58:H58"/>
    <mergeCell ref="A59:H59"/>
    <mergeCell ref="A60:H60"/>
    <mergeCell ref="A62:C62"/>
    <mergeCell ref="F62:H62"/>
    <mergeCell ref="A63:C63"/>
    <mergeCell ref="F63:H63"/>
  </mergeCells>
  <printOptions horizontalCentered="1"/>
  <pageMargins bottom="0.45614987781699706" footer="0.0" header="0.0" left="0.1710562041813739" right="0.28509367363562316" top="0.418137387998914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2.71"/>
    <col customWidth="1" min="2" max="2" width="19.57"/>
    <col customWidth="1" min="3" max="3" width="8.0"/>
    <col customWidth="1" min="4" max="4" width="10.29"/>
    <col customWidth="1" min="5" max="5" width="15.0"/>
    <col customWidth="1" min="6" max="6" width="17.0"/>
    <col customWidth="1" min="7" max="7" width="15.71"/>
    <col customWidth="1" min="8" max="8" width="17.0"/>
    <col customWidth="1" min="9" max="26" width="9.0"/>
  </cols>
  <sheetData>
    <row r="1" ht="12.75" customHeight="1">
      <c r="A1" s="1"/>
      <c r="B1" s="1"/>
      <c r="C1" s="1"/>
      <c r="D1" s="1"/>
      <c r="E1" s="1"/>
      <c r="F1" s="1"/>
      <c r="G1" s="1"/>
      <c r="H1" s="2" t="s">
        <v>0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0.5" customHeight="1">
      <c r="A2" s="1"/>
      <c r="B2" s="1"/>
      <c r="C2" s="3"/>
      <c r="D2" s="3"/>
      <c r="E2" s="1"/>
      <c r="F2" s="1"/>
      <c r="G2" s="5" t="s">
        <v>2</v>
      </c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8" t="s">
        <v>6</v>
      </c>
      <c r="C3" s="3"/>
      <c r="D3" s="3"/>
      <c r="E3" s="1"/>
      <c r="F3" s="1"/>
      <c r="G3" s="5"/>
      <c r="H3" s="9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1" t="s">
        <v>7</v>
      </c>
      <c r="B4" s="11"/>
      <c r="C4" s="3"/>
      <c r="D4" s="3"/>
      <c r="E4" s="1"/>
      <c r="F4" s="1"/>
      <c r="G4" s="1"/>
      <c r="H4" s="1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5" t="s">
        <v>8</v>
      </c>
      <c r="B5" s="12"/>
      <c r="C5" s="12"/>
      <c r="D5" s="1"/>
      <c r="E5" s="1"/>
      <c r="F5" s="1"/>
      <c r="G5" s="17" t="s">
        <v>9</v>
      </c>
      <c r="H5" s="1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2" t="s">
        <v>10</v>
      </c>
      <c r="B6" s="12"/>
      <c r="C6" s="12"/>
      <c r="D6" s="1"/>
      <c r="E6" s="1"/>
      <c r="F6" s="1"/>
      <c r="G6" s="17" t="s">
        <v>11</v>
      </c>
      <c r="H6" s="19" t="str">
        <f>Job_Order!K2</f>
        <v/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2" t="s">
        <v>12</v>
      </c>
      <c r="B7" s="12"/>
      <c r="C7" s="12"/>
      <c r="D7" s="1"/>
      <c r="E7" s="1"/>
      <c r="F7" s="1"/>
      <c r="G7" s="17" t="s">
        <v>15</v>
      </c>
      <c r="H7" s="19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2" t="str">
        <f>Job_Order!B8</f>
        <v>85644550/ 71219124/  09458757441/ 09525065084- VIBER</v>
      </c>
      <c r="B8" s="12"/>
      <c r="C8" s="12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25" t="s">
        <v>14</v>
      </c>
      <c r="B9" s="27"/>
      <c r="C9" s="27"/>
      <c r="D9" s="27"/>
      <c r="E9" s="27"/>
      <c r="F9" s="27"/>
      <c r="G9" s="27"/>
      <c r="H9" s="28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31" t="s">
        <v>17</v>
      </c>
      <c r="B10" s="34" t="str">
        <f>Job_Order!C10</f>
        <v/>
      </c>
      <c r="C10" s="35"/>
      <c r="D10" s="35"/>
      <c r="E10" s="35"/>
      <c r="F10" s="37" t="s">
        <v>21</v>
      </c>
      <c r="G10" s="34" t="str">
        <f>Job_Order!K10</f>
        <v/>
      </c>
      <c r="H10" s="39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40" t="s">
        <v>25</v>
      </c>
      <c r="B11" s="34" t="str">
        <f>Job_Order!C11</f>
        <v/>
      </c>
      <c r="C11" s="35"/>
      <c r="D11" s="35"/>
      <c r="E11" s="35"/>
      <c r="F11" s="12" t="s">
        <v>26</v>
      </c>
      <c r="G11" s="34" t="str">
        <f>Job_Order!H10</f>
        <v/>
      </c>
      <c r="H11" s="39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40" t="s">
        <v>27</v>
      </c>
      <c r="B12" s="34" t="str">
        <f>Job_Order!C12</f>
        <v/>
      </c>
      <c r="C12" s="35"/>
      <c r="D12" s="35"/>
      <c r="E12" s="35"/>
      <c r="F12" s="12" t="s">
        <v>28</v>
      </c>
      <c r="G12" s="34" t="str">
        <f>Job_Order!K13</f>
        <v/>
      </c>
      <c r="H12" s="39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42"/>
      <c r="B13" s="12"/>
      <c r="C13" s="12"/>
      <c r="D13" s="1"/>
      <c r="E13" s="1"/>
      <c r="F13" s="6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43" t="s">
        <v>32</v>
      </c>
      <c r="B14" s="44"/>
      <c r="C14" s="46" t="s">
        <v>35</v>
      </c>
      <c r="D14" s="47" t="s">
        <v>36</v>
      </c>
      <c r="E14" s="47" t="s">
        <v>37</v>
      </c>
      <c r="F14" s="46" t="s">
        <v>38</v>
      </c>
      <c r="G14" s="46" t="s">
        <v>39</v>
      </c>
      <c r="H14" s="46" t="s">
        <v>40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48"/>
      <c r="B15" s="44"/>
      <c r="C15" s="50"/>
      <c r="D15" s="52"/>
      <c r="E15" s="52">
        <f t="shared" ref="E15:E44" si="1">D15*550</f>
        <v>0</v>
      </c>
      <c r="F15" s="52"/>
      <c r="G15" s="52"/>
      <c r="H15" s="60">
        <f t="shared" ref="H15:H44" si="2">E15+F15+G15</f>
        <v>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63"/>
      <c r="B16" s="44"/>
      <c r="C16" s="50"/>
      <c r="D16" s="60"/>
      <c r="E16" s="52">
        <f t="shared" si="1"/>
        <v>0</v>
      </c>
      <c r="F16" s="60"/>
      <c r="G16" s="60"/>
      <c r="H16" s="60">
        <f t="shared" si="2"/>
        <v>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1.25" customHeight="1">
      <c r="A17" s="63"/>
      <c r="B17" s="44"/>
      <c r="C17" s="50"/>
      <c r="D17" s="60"/>
      <c r="E17" s="52">
        <f t="shared" si="1"/>
        <v>0</v>
      </c>
      <c r="F17" s="60"/>
      <c r="G17" s="60"/>
      <c r="H17" s="60">
        <f t="shared" si="2"/>
        <v>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63"/>
      <c r="B18" s="44"/>
      <c r="C18" s="50"/>
      <c r="D18" s="60"/>
      <c r="E18" s="52">
        <f t="shared" si="1"/>
        <v>0</v>
      </c>
      <c r="F18" s="60"/>
      <c r="G18" s="60"/>
      <c r="H18" s="60">
        <f t="shared" si="2"/>
        <v>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0" customHeight="1">
      <c r="A19" s="63"/>
      <c r="B19" s="44"/>
      <c r="C19" s="50"/>
      <c r="D19" s="60"/>
      <c r="E19" s="52">
        <f t="shared" si="1"/>
        <v>0</v>
      </c>
      <c r="F19" s="60"/>
      <c r="G19" s="60"/>
      <c r="H19" s="60">
        <f t="shared" si="2"/>
        <v>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48"/>
      <c r="B20" s="44"/>
      <c r="C20" s="50"/>
      <c r="D20" s="52"/>
      <c r="E20" s="52">
        <f t="shared" si="1"/>
        <v>0</v>
      </c>
      <c r="F20" s="52"/>
      <c r="G20" s="52"/>
      <c r="H20" s="60">
        <f t="shared" si="2"/>
        <v>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48"/>
      <c r="B21" s="44"/>
      <c r="C21" s="50"/>
      <c r="D21" s="52"/>
      <c r="E21" s="52">
        <f t="shared" si="1"/>
        <v>0</v>
      </c>
      <c r="F21" s="52"/>
      <c r="G21" s="52"/>
      <c r="H21" s="52">
        <f t="shared" si="2"/>
        <v>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63"/>
      <c r="B22" s="44"/>
      <c r="C22" s="50"/>
      <c r="D22" s="60"/>
      <c r="E22" s="52">
        <f t="shared" si="1"/>
        <v>0</v>
      </c>
      <c r="F22" s="60"/>
      <c r="G22" s="60"/>
      <c r="H22" s="60">
        <f t="shared" si="2"/>
        <v>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0" customHeight="1">
      <c r="A23" s="63"/>
      <c r="B23" s="44"/>
      <c r="C23" s="50"/>
      <c r="D23" s="60"/>
      <c r="E23" s="52">
        <f t="shared" si="1"/>
        <v>0</v>
      </c>
      <c r="F23" s="60"/>
      <c r="G23" s="60"/>
      <c r="H23" s="60">
        <f t="shared" si="2"/>
        <v>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48"/>
      <c r="B24" s="44"/>
      <c r="C24" s="50"/>
      <c r="D24" s="52"/>
      <c r="E24" s="52">
        <f t="shared" si="1"/>
        <v>0</v>
      </c>
      <c r="F24" s="52"/>
      <c r="G24" s="52"/>
      <c r="H24" s="52">
        <f t="shared" si="2"/>
        <v>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0" customHeight="1">
      <c r="A25" s="63"/>
      <c r="B25" s="44"/>
      <c r="C25" s="50"/>
      <c r="D25" s="60"/>
      <c r="E25" s="52">
        <f t="shared" si="1"/>
        <v>0</v>
      </c>
      <c r="F25" s="60"/>
      <c r="G25" s="60"/>
      <c r="H25" s="60">
        <f t="shared" si="2"/>
        <v>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0" customHeight="1">
      <c r="A26" s="63"/>
      <c r="B26" s="44"/>
      <c r="C26" s="50"/>
      <c r="D26" s="60"/>
      <c r="E26" s="52">
        <f t="shared" si="1"/>
        <v>0</v>
      </c>
      <c r="F26" s="52"/>
      <c r="G26" s="52"/>
      <c r="H26" s="60">
        <f t="shared" si="2"/>
        <v>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48"/>
      <c r="B27" s="44"/>
      <c r="C27" s="50"/>
      <c r="D27" s="52"/>
      <c r="E27" s="52">
        <f t="shared" si="1"/>
        <v>0</v>
      </c>
      <c r="F27" s="52"/>
      <c r="G27" s="52"/>
      <c r="H27" s="52">
        <f t="shared" si="2"/>
        <v>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48"/>
      <c r="B28" s="44"/>
      <c r="C28" s="83"/>
      <c r="D28" s="52"/>
      <c r="E28" s="52">
        <f t="shared" si="1"/>
        <v>0</v>
      </c>
      <c r="F28" s="52"/>
      <c r="G28" s="52"/>
      <c r="H28" s="52">
        <f t="shared" si="2"/>
        <v>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48"/>
      <c r="B29" s="44"/>
      <c r="C29" s="83"/>
      <c r="D29" s="52"/>
      <c r="E29" s="52">
        <f t="shared" si="1"/>
        <v>0</v>
      </c>
      <c r="F29" s="52"/>
      <c r="G29" s="52"/>
      <c r="H29" s="52">
        <f t="shared" si="2"/>
        <v>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84"/>
      <c r="B30" s="44"/>
      <c r="C30" s="50"/>
      <c r="D30" s="52"/>
      <c r="E30" s="52">
        <f t="shared" si="1"/>
        <v>0</v>
      </c>
      <c r="F30" s="52"/>
      <c r="G30" s="52"/>
      <c r="H30" s="60">
        <f t="shared" si="2"/>
        <v>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48"/>
      <c r="B31" s="44"/>
      <c r="C31" s="50"/>
      <c r="D31" s="52"/>
      <c r="E31" s="52">
        <f t="shared" si="1"/>
        <v>0</v>
      </c>
      <c r="F31" s="52"/>
      <c r="G31" s="52"/>
      <c r="H31" s="52">
        <f t="shared" si="2"/>
        <v>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48"/>
      <c r="B32" s="44"/>
      <c r="C32" s="83"/>
      <c r="D32" s="52"/>
      <c r="E32" s="52">
        <f t="shared" si="1"/>
        <v>0</v>
      </c>
      <c r="F32" s="52"/>
      <c r="G32" s="52"/>
      <c r="H32" s="52">
        <f t="shared" si="2"/>
        <v>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48"/>
      <c r="B33" s="44"/>
      <c r="C33" s="83"/>
      <c r="D33" s="52"/>
      <c r="E33" s="52">
        <f t="shared" si="1"/>
        <v>0</v>
      </c>
      <c r="F33" s="52"/>
      <c r="G33" s="52"/>
      <c r="H33" s="52">
        <f t="shared" si="2"/>
        <v>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48"/>
      <c r="B34" s="44"/>
      <c r="C34" s="83"/>
      <c r="D34" s="52"/>
      <c r="E34" s="52">
        <f t="shared" si="1"/>
        <v>0</v>
      </c>
      <c r="F34" s="52"/>
      <c r="G34" s="52"/>
      <c r="H34" s="52">
        <f t="shared" si="2"/>
        <v>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48"/>
      <c r="B35" s="44"/>
      <c r="C35" s="50"/>
      <c r="D35" s="52"/>
      <c r="E35" s="52">
        <f t="shared" si="1"/>
        <v>0</v>
      </c>
      <c r="F35" s="52"/>
      <c r="G35" s="52"/>
      <c r="H35" s="52">
        <f t="shared" si="2"/>
        <v>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48"/>
      <c r="B36" s="44"/>
      <c r="C36" s="50"/>
      <c r="D36" s="52"/>
      <c r="E36" s="52">
        <f t="shared" si="1"/>
        <v>0</v>
      </c>
      <c r="F36" s="52"/>
      <c r="G36" s="52"/>
      <c r="H36" s="52">
        <f t="shared" si="2"/>
        <v>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48"/>
      <c r="B37" s="44"/>
      <c r="C37" s="50"/>
      <c r="D37" s="52"/>
      <c r="E37" s="52">
        <f t="shared" si="1"/>
        <v>0</v>
      </c>
      <c r="F37" s="52"/>
      <c r="G37" s="52"/>
      <c r="H37" s="52">
        <f t="shared" si="2"/>
        <v>0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48"/>
      <c r="B38" s="44"/>
      <c r="C38" s="50"/>
      <c r="D38" s="52"/>
      <c r="E38" s="52">
        <f t="shared" si="1"/>
        <v>0</v>
      </c>
      <c r="F38" s="52"/>
      <c r="G38" s="52"/>
      <c r="H38" s="52">
        <f t="shared" si="2"/>
        <v>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48"/>
      <c r="B39" s="44"/>
      <c r="C39" s="50"/>
      <c r="D39" s="52"/>
      <c r="E39" s="52">
        <f t="shared" si="1"/>
        <v>0</v>
      </c>
      <c r="F39" s="52"/>
      <c r="G39" s="52"/>
      <c r="H39" s="52">
        <f t="shared" si="2"/>
        <v>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48"/>
      <c r="B40" s="44"/>
      <c r="C40" s="50"/>
      <c r="D40" s="52"/>
      <c r="E40" s="52">
        <f t="shared" si="1"/>
        <v>0</v>
      </c>
      <c r="F40" s="52"/>
      <c r="G40" s="52"/>
      <c r="H40" s="52">
        <f t="shared" si="2"/>
        <v>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48"/>
      <c r="B41" s="44"/>
      <c r="C41" s="50"/>
      <c r="D41" s="52"/>
      <c r="E41" s="52">
        <f t="shared" si="1"/>
        <v>0</v>
      </c>
      <c r="F41" s="52"/>
      <c r="G41" s="52"/>
      <c r="H41" s="52">
        <f t="shared" si="2"/>
        <v>0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48"/>
      <c r="B42" s="44"/>
      <c r="C42" s="50"/>
      <c r="D42" s="52"/>
      <c r="E42" s="52">
        <f t="shared" si="1"/>
        <v>0</v>
      </c>
      <c r="F42" s="52"/>
      <c r="G42" s="52"/>
      <c r="H42" s="52">
        <f t="shared" si="2"/>
        <v>0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48"/>
      <c r="B43" s="44"/>
      <c r="C43" s="50"/>
      <c r="D43" s="52"/>
      <c r="E43" s="52">
        <f t="shared" si="1"/>
        <v>0</v>
      </c>
      <c r="F43" s="52"/>
      <c r="G43" s="52"/>
      <c r="H43" s="52">
        <f t="shared" si="2"/>
        <v>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48"/>
      <c r="B44" s="44"/>
      <c r="C44" s="50"/>
      <c r="D44" s="52"/>
      <c r="E44" s="52">
        <f t="shared" si="1"/>
        <v>0</v>
      </c>
      <c r="F44" s="52"/>
      <c r="G44" s="52"/>
      <c r="H44" s="52">
        <f t="shared" si="2"/>
        <v>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94"/>
      <c r="F45" s="1"/>
      <c r="G45" s="1" t="s">
        <v>37</v>
      </c>
      <c r="H45" s="92">
        <f>SUM(E15:E44)</f>
        <v>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94"/>
      <c r="F46" s="1"/>
      <c r="G46" s="1" t="s">
        <v>52</v>
      </c>
      <c r="H46" s="92">
        <f>(H45*12%)</f>
        <v>0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 t="s">
        <v>49</v>
      </c>
      <c r="H47" s="92">
        <f>SUM(G15:G44)</f>
        <v>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 t="s">
        <v>38</v>
      </c>
      <c r="H48" s="92">
        <f>SUM(F15:F44)</f>
        <v>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95" t="s">
        <v>53</v>
      </c>
      <c r="H49" s="96">
        <f>SUM(H45:H48)</f>
        <v>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hidden="1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33.0" customHeight="1">
      <c r="A54" s="97" t="s">
        <v>54</v>
      </c>
      <c r="B54" s="98"/>
      <c r="C54" s="98"/>
      <c r="D54" s="98"/>
      <c r="E54" s="98"/>
      <c r="F54" s="98"/>
      <c r="G54" s="98"/>
      <c r="H54" s="99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6.5" customHeight="1">
      <c r="A55" s="100" t="s">
        <v>55</v>
      </c>
      <c r="F55" s="101"/>
      <c r="G55" s="73"/>
      <c r="H55" s="10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06" t="s">
        <v>56</v>
      </c>
      <c r="H56" s="108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7.25" customHeight="1">
      <c r="A57" s="110"/>
      <c r="H57" s="108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32.25" customHeight="1">
      <c r="A58" s="106" t="s">
        <v>57</v>
      </c>
      <c r="H58" s="108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106" t="s">
        <v>58</v>
      </c>
      <c r="H59" s="108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75" customHeight="1">
      <c r="A60" s="113"/>
      <c r="B60" s="114"/>
      <c r="C60" s="114"/>
      <c r="D60" s="114"/>
      <c r="E60" s="114"/>
      <c r="F60" s="114"/>
      <c r="G60" s="114"/>
      <c r="H60" s="116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118" t="s">
        <v>61</v>
      </c>
      <c r="B61" s="73"/>
      <c r="C61" s="73"/>
      <c r="D61" s="73"/>
      <c r="E61" s="73"/>
      <c r="F61" s="119" t="s">
        <v>62</v>
      </c>
      <c r="G61" s="73"/>
      <c r="H61" s="73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36.75" customHeight="1">
      <c r="A62" s="121"/>
      <c r="B62" s="66"/>
      <c r="C62" s="66"/>
      <c r="D62" s="73"/>
      <c r="E62" s="73"/>
      <c r="F62" s="121"/>
      <c r="G62" s="66"/>
      <c r="H62" s="66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23" t="s">
        <v>63</v>
      </c>
      <c r="B63" s="78"/>
      <c r="C63" s="78"/>
      <c r="D63" s="124"/>
      <c r="E63" s="124"/>
      <c r="F63" s="123" t="s">
        <v>64</v>
      </c>
      <c r="G63" s="78"/>
      <c r="H63" s="78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0" customHeight="1">
      <c r="A64" s="125" t="s">
        <v>66</v>
      </c>
      <c r="H64" s="108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9.25" customHeight="1">
      <c r="A65" s="126"/>
      <c r="B65" s="126"/>
      <c r="C65" s="129" t="str">
        <f>B10</f>
        <v/>
      </c>
      <c r="D65" s="66"/>
      <c r="E65" s="66"/>
      <c r="F65" s="66"/>
      <c r="G65" s="126"/>
      <c r="H65" s="126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31" t="s">
        <v>47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37.5" customHeight="1">
      <c r="A67" s="133" t="s">
        <v>72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3">
    <mergeCell ref="A3:B3"/>
    <mergeCell ref="A9:H9"/>
    <mergeCell ref="B10:E10"/>
    <mergeCell ref="G10:H10"/>
    <mergeCell ref="B11:E11"/>
    <mergeCell ref="G11:H11"/>
    <mergeCell ref="G12:H12"/>
    <mergeCell ref="B12:E12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54:H54"/>
    <mergeCell ref="A55:E55"/>
    <mergeCell ref="A56:H57"/>
    <mergeCell ref="A64:H64"/>
    <mergeCell ref="C65:F65"/>
    <mergeCell ref="A66:H66"/>
    <mergeCell ref="A67:H68"/>
    <mergeCell ref="A58:H58"/>
    <mergeCell ref="A59:H59"/>
    <mergeCell ref="A60:H60"/>
    <mergeCell ref="A62:C62"/>
    <mergeCell ref="F62:H62"/>
    <mergeCell ref="A63:C63"/>
    <mergeCell ref="F63:H63"/>
  </mergeCells>
  <printOptions horizontalCentered="1"/>
  <pageMargins bottom="0.45614987781699706" footer="0.0" header="0.0" left="0.1710562041813739" right="0.28509367363562316" top="0.418137387998914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2.71"/>
    <col customWidth="1" min="2" max="2" width="19.57"/>
    <col customWidth="1" min="3" max="3" width="8.0"/>
    <col customWidth="1" min="4" max="4" width="10.29"/>
    <col customWidth="1" min="5" max="5" width="15.0"/>
    <col customWidth="1" min="6" max="6" width="17.0"/>
    <col customWidth="1" min="7" max="7" width="15.71"/>
    <col customWidth="1" min="8" max="8" width="17.0"/>
    <col customWidth="1" min="9" max="26" width="9.0"/>
  </cols>
  <sheetData>
    <row r="1" ht="12.75" customHeight="1">
      <c r="A1" s="1"/>
      <c r="B1" s="1"/>
      <c r="C1" s="1"/>
      <c r="D1" s="1"/>
      <c r="E1" s="1"/>
      <c r="F1" s="1"/>
      <c r="G1" s="1"/>
      <c r="H1" s="2" t="s">
        <v>0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0.5" customHeight="1">
      <c r="A2" s="1"/>
      <c r="B2" s="1"/>
      <c r="C2" s="3"/>
      <c r="D2" s="3"/>
      <c r="E2" s="1"/>
      <c r="F2" s="1"/>
      <c r="G2" s="5" t="s">
        <v>5</v>
      </c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8" t="s">
        <v>6</v>
      </c>
      <c r="C3" s="3"/>
      <c r="D3" s="3"/>
      <c r="E3" s="1"/>
      <c r="F3" s="1"/>
      <c r="G3" s="5"/>
      <c r="H3" s="9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1" t="s">
        <v>7</v>
      </c>
      <c r="B4" s="11"/>
      <c r="C4" s="3"/>
      <c r="D4" s="3"/>
      <c r="E4" s="1"/>
      <c r="F4" s="1"/>
      <c r="G4" s="1"/>
      <c r="H4" s="1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5" t="s">
        <v>8</v>
      </c>
      <c r="B5" s="12"/>
      <c r="C5" s="12"/>
      <c r="D5" s="1"/>
      <c r="E5" s="1"/>
      <c r="F5" s="1"/>
      <c r="G5" s="17" t="s">
        <v>9</v>
      </c>
      <c r="H5" s="1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2" t="s">
        <v>10</v>
      </c>
      <c r="B6" s="12"/>
      <c r="C6" s="12"/>
      <c r="D6" s="1"/>
      <c r="E6" s="1"/>
      <c r="F6" s="1"/>
      <c r="G6" s="17" t="s">
        <v>11</v>
      </c>
      <c r="H6" s="19" t="str">
        <f>Job_Order!K2</f>
        <v/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2" t="s">
        <v>12</v>
      </c>
      <c r="B7" s="12"/>
      <c r="C7" s="12"/>
      <c r="D7" s="1"/>
      <c r="E7" s="1"/>
      <c r="F7" s="1"/>
      <c r="G7" s="17" t="s">
        <v>15</v>
      </c>
      <c r="H7" s="19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2" t="str">
        <f>Job_Order!B8</f>
        <v>85644550/ 71219124/  09458757441/ 09525065084- VIBER</v>
      </c>
      <c r="B8" s="12"/>
      <c r="C8" s="12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25" t="s">
        <v>14</v>
      </c>
      <c r="B9" s="27"/>
      <c r="C9" s="27"/>
      <c r="D9" s="27"/>
      <c r="E9" s="27"/>
      <c r="F9" s="27"/>
      <c r="G9" s="27"/>
      <c r="H9" s="28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31" t="s">
        <v>17</v>
      </c>
      <c r="B10" s="34" t="str">
        <f>Job_Order!C10</f>
        <v/>
      </c>
      <c r="C10" s="35"/>
      <c r="D10" s="35"/>
      <c r="E10" s="35"/>
      <c r="F10" s="37" t="s">
        <v>21</v>
      </c>
      <c r="G10" s="34" t="str">
        <f>Job_Order!K10</f>
        <v/>
      </c>
      <c r="H10" s="39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40" t="s">
        <v>25</v>
      </c>
      <c r="B11" s="34" t="str">
        <f>Job_Order!C11</f>
        <v/>
      </c>
      <c r="C11" s="35"/>
      <c r="D11" s="35"/>
      <c r="E11" s="35"/>
      <c r="F11" s="12" t="s">
        <v>26</v>
      </c>
      <c r="G11" s="34" t="str">
        <f>Job_Order!H10</f>
        <v/>
      </c>
      <c r="H11" s="39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40" t="s">
        <v>27</v>
      </c>
      <c r="B12" s="34" t="str">
        <f>Job_Order!C12</f>
        <v/>
      </c>
      <c r="C12" s="35"/>
      <c r="D12" s="35"/>
      <c r="E12" s="35"/>
      <c r="F12" s="12" t="s">
        <v>28</v>
      </c>
      <c r="G12" s="34" t="str">
        <f>Job_Order!K13</f>
        <v/>
      </c>
      <c r="H12" s="39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42"/>
      <c r="B13" s="12"/>
      <c r="C13" s="12"/>
      <c r="D13" s="1"/>
      <c r="E13" s="1"/>
      <c r="F13" s="6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43" t="s">
        <v>32</v>
      </c>
      <c r="B14" s="44"/>
      <c r="C14" s="46" t="s">
        <v>35</v>
      </c>
      <c r="D14" s="47" t="s">
        <v>36</v>
      </c>
      <c r="E14" s="47" t="s">
        <v>37</v>
      </c>
      <c r="F14" s="46" t="s">
        <v>38</v>
      </c>
      <c r="G14" s="46" t="s">
        <v>39</v>
      </c>
      <c r="H14" s="46" t="s">
        <v>40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48"/>
      <c r="B15" s="44"/>
      <c r="C15" s="50"/>
      <c r="D15" s="52"/>
      <c r="E15" s="52">
        <f t="shared" ref="E15:E44" si="1">D15*550</f>
        <v>0</v>
      </c>
      <c r="F15" s="52"/>
      <c r="G15" s="52"/>
      <c r="H15" s="60">
        <f t="shared" ref="H15:H44" si="2">E15+F15+G15</f>
        <v>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63"/>
      <c r="B16" s="44"/>
      <c r="C16" s="50"/>
      <c r="D16" s="60"/>
      <c r="E16" s="52">
        <f t="shared" si="1"/>
        <v>0</v>
      </c>
      <c r="F16" s="60"/>
      <c r="G16" s="60"/>
      <c r="H16" s="60">
        <f t="shared" si="2"/>
        <v>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1.25" customHeight="1">
      <c r="A17" s="63"/>
      <c r="B17" s="44"/>
      <c r="C17" s="50"/>
      <c r="D17" s="60"/>
      <c r="E17" s="52">
        <f t="shared" si="1"/>
        <v>0</v>
      </c>
      <c r="F17" s="60"/>
      <c r="G17" s="60"/>
      <c r="H17" s="60">
        <f t="shared" si="2"/>
        <v>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63"/>
      <c r="B18" s="44"/>
      <c r="C18" s="50"/>
      <c r="D18" s="60"/>
      <c r="E18" s="52">
        <f t="shared" si="1"/>
        <v>0</v>
      </c>
      <c r="F18" s="60"/>
      <c r="G18" s="60"/>
      <c r="H18" s="60">
        <f t="shared" si="2"/>
        <v>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0" customHeight="1">
      <c r="A19" s="63"/>
      <c r="B19" s="44"/>
      <c r="C19" s="50"/>
      <c r="D19" s="60"/>
      <c r="E19" s="52">
        <f t="shared" si="1"/>
        <v>0</v>
      </c>
      <c r="F19" s="60"/>
      <c r="G19" s="60"/>
      <c r="H19" s="60">
        <f t="shared" si="2"/>
        <v>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48"/>
      <c r="B20" s="44"/>
      <c r="C20" s="50"/>
      <c r="D20" s="52"/>
      <c r="E20" s="52">
        <f t="shared" si="1"/>
        <v>0</v>
      </c>
      <c r="F20" s="52"/>
      <c r="G20" s="52"/>
      <c r="H20" s="60">
        <f t="shared" si="2"/>
        <v>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48"/>
      <c r="B21" s="44"/>
      <c r="C21" s="50"/>
      <c r="D21" s="52"/>
      <c r="E21" s="52">
        <f t="shared" si="1"/>
        <v>0</v>
      </c>
      <c r="F21" s="52"/>
      <c r="G21" s="52"/>
      <c r="H21" s="52">
        <f t="shared" si="2"/>
        <v>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63"/>
      <c r="B22" s="44"/>
      <c r="C22" s="50"/>
      <c r="D22" s="60"/>
      <c r="E22" s="52">
        <f t="shared" si="1"/>
        <v>0</v>
      </c>
      <c r="F22" s="60"/>
      <c r="G22" s="60"/>
      <c r="H22" s="60">
        <f t="shared" si="2"/>
        <v>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0" customHeight="1">
      <c r="A23" s="63"/>
      <c r="B23" s="44"/>
      <c r="C23" s="50"/>
      <c r="D23" s="60"/>
      <c r="E23" s="52">
        <f t="shared" si="1"/>
        <v>0</v>
      </c>
      <c r="F23" s="60"/>
      <c r="G23" s="60"/>
      <c r="H23" s="60">
        <f t="shared" si="2"/>
        <v>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48"/>
      <c r="B24" s="44"/>
      <c r="C24" s="50"/>
      <c r="D24" s="52"/>
      <c r="E24" s="52">
        <f t="shared" si="1"/>
        <v>0</v>
      </c>
      <c r="F24" s="52"/>
      <c r="G24" s="52"/>
      <c r="H24" s="52">
        <f t="shared" si="2"/>
        <v>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0" customHeight="1">
      <c r="A25" s="63"/>
      <c r="B25" s="44"/>
      <c r="C25" s="50"/>
      <c r="D25" s="60"/>
      <c r="E25" s="52">
        <f t="shared" si="1"/>
        <v>0</v>
      </c>
      <c r="F25" s="60"/>
      <c r="G25" s="60"/>
      <c r="H25" s="60">
        <f t="shared" si="2"/>
        <v>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0" customHeight="1">
      <c r="A26" s="63"/>
      <c r="B26" s="44"/>
      <c r="C26" s="50"/>
      <c r="D26" s="60"/>
      <c r="E26" s="52">
        <f t="shared" si="1"/>
        <v>0</v>
      </c>
      <c r="F26" s="52"/>
      <c r="G26" s="52"/>
      <c r="H26" s="60">
        <f t="shared" si="2"/>
        <v>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48"/>
      <c r="B27" s="44"/>
      <c r="C27" s="50"/>
      <c r="D27" s="52"/>
      <c r="E27" s="52">
        <f t="shared" si="1"/>
        <v>0</v>
      </c>
      <c r="F27" s="52"/>
      <c r="G27" s="52"/>
      <c r="H27" s="52">
        <f t="shared" si="2"/>
        <v>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48"/>
      <c r="B28" s="44"/>
      <c r="C28" s="83"/>
      <c r="D28" s="52"/>
      <c r="E28" s="52">
        <f t="shared" si="1"/>
        <v>0</v>
      </c>
      <c r="F28" s="52"/>
      <c r="G28" s="52"/>
      <c r="H28" s="52">
        <f t="shared" si="2"/>
        <v>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48"/>
      <c r="B29" s="44"/>
      <c r="C29" s="83"/>
      <c r="D29" s="52"/>
      <c r="E29" s="52">
        <f t="shared" si="1"/>
        <v>0</v>
      </c>
      <c r="F29" s="52"/>
      <c r="G29" s="52"/>
      <c r="H29" s="52">
        <f t="shared" si="2"/>
        <v>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84"/>
      <c r="B30" s="44"/>
      <c r="C30" s="50"/>
      <c r="D30" s="52"/>
      <c r="E30" s="52">
        <f t="shared" si="1"/>
        <v>0</v>
      </c>
      <c r="F30" s="52"/>
      <c r="G30" s="52"/>
      <c r="H30" s="60">
        <f t="shared" si="2"/>
        <v>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48"/>
      <c r="B31" s="44"/>
      <c r="C31" s="50"/>
      <c r="D31" s="52"/>
      <c r="E31" s="52">
        <f t="shared" si="1"/>
        <v>0</v>
      </c>
      <c r="F31" s="52"/>
      <c r="G31" s="52"/>
      <c r="H31" s="52">
        <f t="shared" si="2"/>
        <v>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48"/>
      <c r="B32" s="44"/>
      <c r="C32" s="83"/>
      <c r="D32" s="52"/>
      <c r="E32" s="52">
        <f t="shared" si="1"/>
        <v>0</v>
      </c>
      <c r="F32" s="52"/>
      <c r="G32" s="52"/>
      <c r="H32" s="52">
        <f t="shared" si="2"/>
        <v>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48"/>
      <c r="B33" s="44"/>
      <c r="C33" s="83"/>
      <c r="D33" s="52"/>
      <c r="E33" s="52">
        <f t="shared" si="1"/>
        <v>0</v>
      </c>
      <c r="F33" s="52"/>
      <c r="G33" s="52"/>
      <c r="H33" s="52">
        <f t="shared" si="2"/>
        <v>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48"/>
      <c r="B34" s="44"/>
      <c r="C34" s="83"/>
      <c r="D34" s="52"/>
      <c r="E34" s="52">
        <f t="shared" si="1"/>
        <v>0</v>
      </c>
      <c r="F34" s="52"/>
      <c r="G34" s="52"/>
      <c r="H34" s="52">
        <f t="shared" si="2"/>
        <v>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48"/>
      <c r="B35" s="44"/>
      <c r="C35" s="50"/>
      <c r="D35" s="52"/>
      <c r="E35" s="52">
        <f t="shared" si="1"/>
        <v>0</v>
      </c>
      <c r="F35" s="52"/>
      <c r="G35" s="52"/>
      <c r="H35" s="52">
        <f t="shared" si="2"/>
        <v>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48"/>
      <c r="B36" s="44"/>
      <c r="C36" s="50"/>
      <c r="D36" s="52"/>
      <c r="E36" s="52">
        <f t="shared" si="1"/>
        <v>0</v>
      </c>
      <c r="F36" s="52"/>
      <c r="G36" s="52"/>
      <c r="H36" s="52">
        <f t="shared" si="2"/>
        <v>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48"/>
      <c r="B37" s="44"/>
      <c r="C37" s="50"/>
      <c r="D37" s="52"/>
      <c r="E37" s="52">
        <f t="shared" si="1"/>
        <v>0</v>
      </c>
      <c r="F37" s="52"/>
      <c r="G37" s="52"/>
      <c r="H37" s="52">
        <f t="shared" si="2"/>
        <v>0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48"/>
      <c r="B38" s="44"/>
      <c r="C38" s="50"/>
      <c r="D38" s="52"/>
      <c r="E38" s="52">
        <f t="shared" si="1"/>
        <v>0</v>
      </c>
      <c r="F38" s="52"/>
      <c r="G38" s="52"/>
      <c r="H38" s="52">
        <f t="shared" si="2"/>
        <v>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48"/>
      <c r="B39" s="44"/>
      <c r="C39" s="50"/>
      <c r="D39" s="52"/>
      <c r="E39" s="52">
        <f t="shared" si="1"/>
        <v>0</v>
      </c>
      <c r="F39" s="52"/>
      <c r="G39" s="52"/>
      <c r="H39" s="52">
        <f t="shared" si="2"/>
        <v>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48"/>
      <c r="B40" s="44"/>
      <c r="C40" s="50"/>
      <c r="D40" s="52"/>
      <c r="E40" s="52">
        <f t="shared" si="1"/>
        <v>0</v>
      </c>
      <c r="F40" s="52"/>
      <c r="G40" s="52"/>
      <c r="H40" s="52">
        <f t="shared" si="2"/>
        <v>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48"/>
      <c r="B41" s="44"/>
      <c r="C41" s="50"/>
      <c r="D41" s="52"/>
      <c r="E41" s="52">
        <f t="shared" si="1"/>
        <v>0</v>
      </c>
      <c r="F41" s="52"/>
      <c r="G41" s="52"/>
      <c r="H41" s="52">
        <f t="shared" si="2"/>
        <v>0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48"/>
      <c r="B42" s="44"/>
      <c r="C42" s="50"/>
      <c r="D42" s="52"/>
      <c r="E42" s="52">
        <f t="shared" si="1"/>
        <v>0</v>
      </c>
      <c r="F42" s="52"/>
      <c r="G42" s="52"/>
      <c r="H42" s="52">
        <f t="shared" si="2"/>
        <v>0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48"/>
      <c r="B43" s="44"/>
      <c r="C43" s="50"/>
      <c r="D43" s="52"/>
      <c r="E43" s="52">
        <f t="shared" si="1"/>
        <v>0</v>
      </c>
      <c r="F43" s="52"/>
      <c r="G43" s="52"/>
      <c r="H43" s="52">
        <f t="shared" si="2"/>
        <v>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48"/>
      <c r="B44" s="44"/>
      <c r="C44" s="50"/>
      <c r="D44" s="52"/>
      <c r="E44" s="52">
        <f t="shared" si="1"/>
        <v>0</v>
      </c>
      <c r="F44" s="52"/>
      <c r="G44" s="52"/>
      <c r="H44" s="52">
        <f t="shared" si="2"/>
        <v>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94"/>
      <c r="F45" s="1"/>
      <c r="G45" s="1" t="s">
        <v>37</v>
      </c>
      <c r="H45" s="92">
        <f>SUM(E15:E44)</f>
        <v>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94"/>
      <c r="F46" s="1"/>
      <c r="G46" s="1" t="s">
        <v>52</v>
      </c>
      <c r="H46" s="92">
        <f>(H45*12%)</f>
        <v>0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 t="s">
        <v>49</v>
      </c>
      <c r="H47" s="92">
        <f>SUM(G15:G44)</f>
        <v>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 t="s">
        <v>38</v>
      </c>
      <c r="H48" s="92">
        <f>SUM(F15:F44)</f>
        <v>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95" t="s">
        <v>53</v>
      </c>
      <c r="H49" s="96">
        <f>SUM(H45:H48)</f>
        <v>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hidden="1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33.0" customHeight="1">
      <c r="A54" s="97" t="s">
        <v>54</v>
      </c>
      <c r="B54" s="98"/>
      <c r="C54" s="98"/>
      <c r="D54" s="98"/>
      <c r="E54" s="98"/>
      <c r="F54" s="98"/>
      <c r="G54" s="98"/>
      <c r="H54" s="99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6.5" customHeight="1">
      <c r="A55" s="100" t="s">
        <v>55</v>
      </c>
      <c r="F55" s="101"/>
      <c r="G55" s="73"/>
      <c r="H55" s="10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06" t="s">
        <v>56</v>
      </c>
      <c r="H56" s="108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7.25" customHeight="1">
      <c r="A57" s="110"/>
      <c r="H57" s="108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32.25" customHeight="1">
      <c r="A58" s="106" t="s">
        <v>57</v>
      </c>
      <c r="H58" s="108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106" t="s">
        <v>58</v>
      </c>
      <c r="H59" s="108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75" customHeight="1">
      <c r="A60" s="113"/>
      <c r="B60" s="114"/>
      <c r="C60" s="114"/>
      <c r="D60" s="114"/>
      <c r="E60" s="114"/>
      <c r="F60" s="114"/>
      <c r="G60" s="114"/>
      <c r="H60" s="116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118" t="s">
        <v>61</v>
      </c>
      <c r="B61" s="73"/>
      <c r="C61" s="73"/>
      <c r="D61" s="73"/>
      <c r="E61" s="73"/>
      <c r="F61" s="119" t="s">
        <v>62</v>
      </c>
      <c r="G61" s="73"/>
      <c r="H61" s="73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36.75" customHeight="1">
      <c r="A62" s="121"/>
      <c r="B62" s="66"/>
      <c r="C62" s="66"/>
      <c r="D62" s="73"/>
      <c r="E62" s="73"/>
      <c r="F62" s="121"/>
      <c r="G62" s="66"/>
      <c r="H62" s="66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23" t="s">
        <v>63</v>
      </c>
      <c r="B63" s="78"/>
      <c r="C63" s="78"/>
      <c r="D63" s="124"/>
      <c r="E63" s="124"/>
      <c r="F63" s="123" t="s">
        <v>64</v>
      </c>
      <c r="G63" s="78"/>
      <c r="H63" s="78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0" customHeight="1">
      <c r="A64" s="125" t="s">
        <v>66</v>
      </c>
      <c r="H64" s="108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9.25" customHeight="1">
      <c r="A65" s="126"/>
      <c r="B65" s="126"/>
      <c r="C65" s="129" t="str">
        <f>B10</f>
        <v/>
      </c>
      <c r="D65" s="66"/>
      <c r="E65" s="66"/>
      <c r="F65" s="66"/>
      <c r="G65" s="126"/>
      <c r="H65" s="126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31" t="s">
        <v>47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37.5" customHeight="1">
      <c r="A67" s="133" t="s">
        <v>72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3">
    <mergeCell ref="A3:B3"/>
    <mergeCell ref="A9:H9"/>
    <mergeCell ref="B10:E10"/>
    <mergeCell ref="G10:H10"/>
    <mergeCell ref="B11:E11"/>
    <mergeCell ref="G11:H11"/>
    <mergeCell ref="G12:H12"/>
    <mergeCell ref="B12:E12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54:H54"/>
    <mergeCell ref="A55:E55"/>
    <mergeCell ref="A56:H57"/>
    <mergeCell ref="A64:H64"/>
    <mergeCell ref="C65:F65"/>
    <mergeCell ref="A66:H66"/>
    <mergeCell ref="A67:H68"/>
    <mergeCell ref="A58:H58"/>
    <mergeCell ref="A59:H59"/>
    <mergeCell ref="A60:H60"/>
    <mergeCell ref="A62:C62"/>
    <mergeCell ref="F62:H62"/>
    <mergeCell ref="A63:C63"/>
    <mergeCell ref="F63:H63"/>
  </mergeCells>
  <printOptions horizontalCentered="1"/>
  <pageMargins bottom="0.45614987781699706" footer="0.0" header="0.0" left="0.1710562041813739" right="0.28509367363562316" top="0.418137387998914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2.71"/>
    <col customWidth="1" min="2" max="2" width="19.86"/>
    <col customWidth="1" min="3" max="3" width="8.0"/>
    <col customWidth="1" min="4" max="4" width="10.43"/>
    <col customWidth="1" min="5" max="5" width="15.14"/>
    <col customWidth="1" min="6" max="6" width="17.14"/>
    <col customWidth="1" min="7" max="7" width="15.0"/>
    <col customWidth="1" min="8" max="8" width="17.14"/>
    <col customWidth="1" min="9" max="26" width="9.0"/>
  </cols>
  <sheetData>
    <row r="1" ht="12.75" customHeight="1">
      <c r="A1" s="1"/>
      <c r="B1" s="1"/>
      <c r="C1" s="1"/>
      <c r="D1" s="1"/>
      <c r="E1" s="1"/>
      <c r="F1" s="1"/>
      <c r="G1" s="1"/>
      <c r="H1" s="2" t="s">
        <v>96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0.5" customHeight="1">
      <c r="A2" s="1"/>
      <c r="B2" s="1"/>
      <c r="C2" s="3"/>
      <c r="D2" s="3"/>
      <c r="E2" s="1"/>
      <c r="F2" s="1"/>
      <c r="G2" s="5" t="s">
        <v>97</v>
      </c>
      <c r="H2" s="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9.75" customHeight="1">
      <c r="A3" s="8" t="s">
        <v>6</v>
      </c>
      <c r="C3" s="3"/>
      <c r="D3" s="3"/>
      <c r="E3" s="1"/>
      <c r="F3" s="1"/>
      <c r="G3" s="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1" t="s">
        <v>7</v>
      </c>
      <c r="B4" s="11"/>
      <c r="C4" s="3"/>
      <c r="D4" s="3"/>
      <c r="E4" s="1"/>
      <c r="F4" s="1"/>
      <c r="G4" s="1"/>
      <c r="H4" s="1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5" t="s">
        <v>8</v>
      </c>
      <c r="B5" s="12"/>
      <c r="C5" s="12"/>
      <c r="D5" s="1"/>
      <c r="E5" s="1"/>
      <c r="F5" s="1"/>
      <c r="G5" s="17" t="s">
        <v>9</v>
      </c>
      <c r="H5" s="50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2" t="s">
        <v>10</v>
      </c>
      <c r="B6" s="12"/>
      <c r="C6" s="12"/>
      <c r="D6" s="1"/>
      <c r="E6" s="1"/>
      <c r="F6" s="1"/>
      <c r="G6" s="17" t="s">
        <v>11</v>
      </c>
      <c r="H6" s="50" t="str">
        <f>Job_Order!K2</f>
        <v/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2" t="s">
        <v>12</v>
      </c>
      <c r="B7" s="12"/>
      <c r="C7" s="12"/>
      <c r="D7" s="1"/>
      <c r="E7" s="1"/>
      <c r="F7" s="2"/>
      <c r="G7" s="17" t="s">
        <v>98</v>
      </c>
      <c r="H7" s="50" t="str">
        <f>'Quotation_No 1'!H2</f>
        <v/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2" t="str">
        <f>Job_Order!B8</f>
        <v>85644550/ 71219124/  09458757441/ 09525065084- VIBER</v>
      </c>
      <c r="B8" s="12"/>
      <c r="C8" s="12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25" t="s">
        <v>14</v>
      </c>
      <c r="B9" s="27"/>
      <c r="C9" s="27"/>
      <c r="D9" s="27"/>
      <c r="E9" s="27"/>
      <c r="F9" s="27"/>
      <c r="G9" s="27"/>
      <c r="H9" s="28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40" t="s">
        <v>99</v>
      </c>
      <c r="B10" s="76" t="str">
        <f>Job_Order!C10</f>
        <v/>
      </c>
      <c r="C10" s="66"/>
      <c r="D10" s="66"/>
      <c r="E10" s="66"/>
      <c r="F10" s="12" t="s">
        <v>21</v>
      </c>
      <c r="G10" s="76" t="str">
        <f>Job_Order!K10</f>
        <v/>
      </c>
      <c r="H10" s="6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40" t="s">
        <v>100</v>
      </c>
      <c r="B11" s="76" t="str">
        <f>Job_Order!C11</f>
        <v/>
      </c>
      <c r="C11" s="66"/>
      <c r="D11" s="66"/>
      <c r="E11" s="66"/>
      <c r="F11" s="12" t="s">
        <v>101</v>
      </c>
      <c r="G11" s="76" t="str">
        <f>Job_Order!H10</f>
        <v/>
      </c>
      <c r="H11" s="6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40" t="s">
        <v>27</v>
      </c>
      <c r="B12" s="29" t="str">
        <f>Job_Order!C12</f>
        <v/>
      </c>
      <c r="C12" s="30"/>
      <c r="D12" s="30"/>
      <c r="E12" s="30"/>
      <c r="F12" s="12" t="s">
        <v>28</v>
      </c>
      <c r="G12" s="148" t="str">
        <f>Job_Order!K13</f>
        <v/>
      </c>
      <c r="H12" s="149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2" t="s">
        <v>102</v>
      </c>
      <c r="B13" s="29" t="str">
        <f>Job_Order!C13</f>
        <v/>
      </c>
      <c r="C13" s="30"/>
      <c r="D13" s="30"/>
      <c r="E13" s="30"/>
      <c r="F13" s="1" t="s">
        <v>103</v>
      </c>
      <c r="G13" s="29" t="str">
        <f>Job_Order!H11</f>
        <v/>
      </c>
      <c r="H13" s="3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 t="s">
        <v>104</v>
      </c>
      <c r="B14" s="150"/>
      <c r="C14" s="151">
        <f>H57</f>
        <v>0</v>
      </c>
      <c r="D14" s="32" t="s">
        <v>105</v>
      </c>
      <c r="E14" s="150"/>
      <c r="F14" s="1"/>
      <c r="G14" s="150"/>
      <c r="H14" s="150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2"/>
      <c r="B15" s="12"/>
      <c r="C15" s="12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43" t="s">
        <v>32</v>
      </c>
      <c r="B16" s="44"/>
      <c r="C16" s="46" t="s">
        <v>35</v>
      </c>
      <c r="D16" s="47" t="s">
        <v>36</v>
      </c>
      <c r="E16" s="47" t="s">
        <v>37</v>
      </c>
      <c r="F16" s="46" t="s">
        <v>38</v>
      </c>
      <c r="G16" s="46" t="s">
        <v>39</v>
      </c>
      <c r="H16" s="46" t="s">
        <v>40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48"/>
      <c r="B17" s="44"/>
      <c r="C17" s="50"/>
      <c r="D17" s="52"/>
      <c r="E17" s="52">
        <f t="shared" ref="E17:E52" si="1">D17*550</f>
        <v>0</v>
      </c>
      <c r="F17" s="52"/>
      <c r="G17" s="52"/>
      <c r="H17" s="52">
        <f>G17+F17+E17</f>
        <v>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48"/>
      <c r="B18" s="44"/>
      <c r="C18" s="50"/>
      <c r="D18" s="52"/>
      <c r="E18" s="52">
        <f t="shared" si="1"/>
        <v>0</v>
      </c>
      <c r="F18" s="52"/>
      <c r="G18" s="52"/>
      <c r="H18" s="52">
        <f t="shared" ref="H18:H52" si="2">E18+F18+G18</f>
        <v>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48"/>
      <c r="B19" s="44"/>
      <c r="C19" s="50"/>
      <c r="D19" s="52"/>
      <c r="E19" s="52">
        <f t="shared" si="1"/>
        <v>0</v>
      </c>
      <c r="F19" s="52"/>
      <c r="G19" s="52"/>
      <c r="H19" s="52">
        <f t="shared" si="2"/>
        <v>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48"/>
      <c r="B20" s="44"/>
      <c r="C20" s="50"/>
      <c r="D20" s="52"/>
      <c r="E20" s="52">
        <f t="shared" si="1"/>
        <v>0</v>
      </c>
      <c r="F20" s="52"/>
      <c r="G20" s="52"/>
      <c r="H20" s="52">
        <f t="shared" si="2"/>
        <v>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48"/>
      <c r="B21" s="44"/>
      <c r="C21" s="50"/>
      <c r="D21" s="52"/>
      <c r="E21" s="52">
        <f t="shared" si="1"/>
        <v>0</v>
      </c>
      <c r="F21" s="52"/>
      <c r="G21" s="52"/>
      <c r="H21" s="52">
        <f t="shared" si="2"/>
        <v>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48"/>
      <c r="B22" s="44"/>
      <c r="C22" s="50"/>
      <c r="D22" s="52"/>
      <c r="E22" s="52">
        <f t="shared" si="1"/>
        <v>0</v>
      </c>
      <c r="F22" s="52"/>
      <c r="G22" s="52"/>
      <c r="H22" s="60">
        <f t="shared" si="2"/>
        <v>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48"/>
      <c r="B23" s="44"/>
      <c r="C23" s="50"/>
      <c r="D23" s="52"/>
      <c r="E23" s="52">
        <f t="shared" si="1"/>
        <v>0</v>
      </c>
      <c r="F23" s="52"/>
      <c r="G23" s="52"/>
      <c r="H23" s="52">
        <f t="shared" si="2"/>
        <v>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48"/>
      <c r="B24" s="44"/>
      <c r="C24" s="50"/>
      <c r="D24" s="52"/>
      <c r="E24" s="52">
        <f t="shared" si="1"/>
        <v>0</v>
      </c>
      <c r="F24" s="52"/>
      <c r="G24" s="52"/>
      <c r="H24" s="52">
        <f t="shared" si="2"/>
        <v>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48"/>
      <c r="B25" s="44"/>
      <c r="C25" s="50"/>
      <c r="D25" s="52"/>
      <c r="E25" s="52">
        <f t="shared" si="1"/>
        <v>0</v>
      </c>
      <c r="F25" s="52"/>
      <c r="G25" s="52"/>
      <c r="H25" s="52">
        <f t="shared" si="2"/>
        <v>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48"/>
      <c r="B26" s="44"/>
      <c r="C26" s="50"/>
      <c r="D26" s="52"/>
      <c r="E26" s="52">
        <f t="shared" si="1"/>
        <v>0</v>
      </c>
      <c r="F26" s="52"/>
      <c r="G26" s="52"/>
      <c r="H26" s="52">
        <f t="shared" si="2"/>
        <v>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48"/>
      <c r="B27" s="44"/>
      <c r="C27" s="50"/>
      <c r="D27" s="52"/>
      <c r="E27" s="52">
        <f t="shared" si="1"/>
        <v>0</v>
      </c>
      <c r="F27" s="52"/>
      <c r="G27" s="52"/>
      <c r="H27" s="52">
        <f t="shared" si="2"/>
        <v>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48"/>
      <c r="B28" s="44"/>
      <c r="C28" s="50"/>
      <c r="D28" s="52"/>
      <c r="E28" s="52">
        <f t="shared" si="1"/>
        <v>0</v>
      </c>
      <c r="F28" s="52"/>
      <c r="G28" s="52"/>
      <c r="H28" s="52">
        <f t="shared" si="2"/>
        <v>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48"/>
      <c r="B29" s="44"/>
      <c r="C29" s="50"/>
      <c r="D29" s="52"/>
      <c r="E29" s="52">
        <f t="shared" si="1"/>
        <v>0</v>
      </c>
      <c r="F29" s="52"/>
      <c r="G29" s="52"/>
      <c r="H29" s="60">
        <f t="shared" si="2"/>
        <v>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48"/>
      <c r="B30" s="44"/>
      <c r="C30" s="50"/>
      <c r="D30" s="52"/>
      <c r="E30" s="52">
        <f t="shared" si="1"/>
        <v>0</v>
      </c>
      <c r="F30" s="52"/>
      <c r="G30" s="52"/>
      <c r="H30" s="52">
        <f t="shared" si="2"/>
        <v>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48"/>
      <c r="B31" s="44"/>
      <c r="C31" s="50"/>
      <c r="D31" s="52"/>
      <c r="E31" s="52">
        <f t="shared" si="1"/>
        <v>0</v>
      </c>
      <c r="F31" s="52"/>
      <c r="G31" s="52"/>
      <c r="H31" s="52">
        <f t="shared" si="2"/>
        <v>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48"/>
      <c r="B32" s="44"/>
      <c r="C32" s="50"/>
      <c r="D32" s="52"/>
      <c r="E32" s="52">
        <f t="shared" si="1"/>
        <v>0</v>
      </c>
      <c r="F32" s="52"/>
      <c r="G32" s="52"/>
      <c r="H32" s="52">
        <f t="shared" si="2"/>
        <v>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48"/>
      <c r="B33" s="44"/>
      <c r="C33" s="50"/>
      <c r="D33" s="52"/>
      <c r="E33" s="52">
        <f t="shared" si="1"/>
        <v>0</v>
      </c>
      <c r="F33" s="52"/>
      <c r="G33" s="52"/>
      <c r="H33" s="52">
        <f t="shared" si="2"/>
        <v>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48"/>
      <c r="B34" s="44"/>
      <c r="C34" s="50"/>
      <c r="D34" s="52"/>
      <c r="E34" s="52">
        <f t="shared" si="1"/>
        <v>0</v>
      </c>
      <c r="F34" s="52"/>
      <c r="G34" s="52"/>
      <c r="H34" s="52">
        <f t="shared" si="2"/>
        <v>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48"/>
      <c r="B35" s="44"/>
      <c r="C35" s="50"/>
      <c r="D35" s="52"/>
      <c r="E35" s="52">
        <f t="shared" si="1"/>
        <v>0</v>
      </c>
      <c r="F35" s="52"/>
      <c r="G35" s="52"/>
      <c r="H35" s="52">
        <f t="shared" si="2"/>
        <v>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48"/>
      <c r="B36" s="44"/>
      <c r="C36" s="50"/>
      <c r="D36" s="52"/>
      <c r="E36" s="52">
        <f t="shared" si="1"/>
        <v>0</v>
      </c>
      <c r="F36" s="52"/>
      <c r="G36" s="52"/>
      <c r="H36" s="52">
        <f t="shared" si="2"/>
        <v>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48"/>
      <c r="B37" s="44"/>
      <c r="C37" s="50"/>
      <c r="D37" s="52"/>
      <c r="E37" s="52">
        <f t="shared" si="1"/>
        <v>0</v>
      </c>
      <c r="F37" s="52"/>
      <c r="G37" s="52"/>
      <c r="H37" s="52">
        <f t="shared" si="2"/>
        <v>0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48"/>
      <c r="B38" s="44"/>
      <c r="C38" s="50"/>
      <c r="D38" s="52"/>
      <c r="E38" s="52">
        <f t="shared" si="1"/>
        <v>0</v>
      </c>
      <c r="F38" s="52"/>
      <c r="G38" s="52"/>
      <c r="H38" s="52">
        <f t="shared" si="2"/>
        <v>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48"/>
      <c r="B39" s="44"/>
      <c r="C39" s="50"/>
      <c r="D39" s="52"/>
      <c r="E39" s="52">
        <f t="shared" si="1"/>
        <v>0</v>
      </c>
      <c r="F39" s="52"/>
      <c r="G39" s="52"/>
      <c r="H39" s="52">
        <f t="shared" si="2"/>
        <v>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48"/>
      <c r="B40" s="44"/>
      <c r="C40" s="50"/>
      <c r="D40" s="52"/>
      <c r="E40" s="52">
        <f t="shared" si="1"/>
        <v>0</v>
      </c>
      <c r="F40" s="52"/>
      <c r="G40" s="52"/>
      <c r="H40" s="52">
        <f t="shared" si="2"/>
        <v>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48"/>
      <c r="B41" s="44"/>
      <c r="C41" s="50"/>
      <c r="D41" s="52"/>
      <c r="E41" s="52">
        <f t="shared" si="1"/>
        <v>0</v>
      </c>
      <c r="F41" s="52"/>
      <c r="G41" s="52"/>
      <c r="H41" s="52">
        <f t="shared" si="2"/>
        <v>0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48"/>
      <c r="B42" s="44"/>
      <c r="C42" s="50"/>
      <c r="D42" s="52"/>
      <c r="E42" s="52">
        <f t="shared" si="1"/>
        <v>0</v>
      </c>
      <c r="F42" s="52"/>
      <c r="G42" s="52"/>
      <c r="H42" s="52">
        <f t="shared" si="2"/>
        <v>0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48"/>
      <c r="B43" s="44"/>
      <c r="C43" s="50"/>
      <c r="D43" s="52"/>
      <c r="E43" s="52">
        <f t="shared" si="1"/>
        <v>0</v>
      </c>
      <c r="F43" s="52"/>
      <c r="G43" s="52"/>
      <c r="H43" s="52">
        <f t="shared" si="2"/>
        <v>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48"/>
      <c r="B44" s="44"/>
      <c r="C44" s="50"/>
      <c r="D44" s="52"/>
      <c r="E44" s="52">
        <f t="shared" si="1"/>
        <v>0</v>
      </c>
      <c r="F44" s="52"/>
      <c r="G44" s="52"/>
      <c r="H44" s="52">
        <f t="shared" si="2"/>
        <v>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48"/>
      <c r="B45" s="44"/>
      <c r="C45" s="50"/>
      <c r="D45" s="52"/>
      <c r="E45" s="52">
        <f t="shared" si="1"/>
        <v>0</v>
      </c>
      <c r="F45" s="52"/>
      <c r="G45" s="52"/>
      <c r="H45" s="52">
        <f t="shared" si="2"/>
        <v>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48"/>
      <c r="B46" s="44"/>
      <c r="C46" s="50"/>
      <c r="D46" s="52"/>
      <c r="E46" s="52">
        <f t="shared" si="1"/>
        <v>0</v>
      </c>
      <c r="F46" s="52"/>
      <c r="G46" s="52"/>
      <c r="H46" s="52">
        <f t="shared" si="2"/>
        <v>0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48"/>
      <c r="B47" s="44"/>
      <c r="C47" s="50"/>
      <c r="D47" s="52"/>
      <c r="E47" s="52">
        <f t="shared" si="1"/>
        <v>0</v>
      </c>
      <c r="F47" s="52"/>
      <c r="G47" s="52"/>
      <c r="H47" s="52">
        <f t="shared" si="2"/>
        <v>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48"/>
      <c r="B48" s="44"/>
      <c r="C48" s="50"/>
      <c r="D48" s="52"/>
      <c r="E48" s="52">
        <f t="shared" si="1"/>
        <v>0</v>
      </c>
      <c r="F48" s="52"/>
      <c r="G48" s="52"/>
      <c r="H48" s="52">
        <f t="shared" si="2"/>
        <v>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48"/>
      <c r="B49" s="44"/>
      <c r="C49" s="50"/>
      <c r="D49" s="52"/>
      <c r="E49" s="52">
        <f t="shared" si="1"/>
        <v>0</v>
      </c>
      <c r="F49" s="52"/>
      <c r="G49" s="52"/>
      <c r="H49" s="52">
        <f t="shared" si="2"/>
        <v>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48"/>
      <c r="B50" s="44"/>
      <c r="C50" s="50"/>
      <c r="D50" s="52"/>
      <c r="E50" s="52">
        <f t="shared" si="1"/>
        <v>0</v>
      </c>
      <c r="F50" s="52"/>
      <c r="G50" s="52"/>
      <c r="H50" s="52">
        <f t="shared" si="2"/>
        <v>0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48"/>
      <c r="B51" s="44"/>
      <c r="C51" s="50"/>
      <c r="D51" s="52"/>
      <c r="E51" s="52">
        <f t="shared" si="1"/>
        <v>0</v>
      </c>
      <c r="F51" s="52"/>
      <c r="G51" s="52"/>
      <c r="H51" s="52">
        <f t="shared" si="2"/>
        <v>0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48"/>
      <c r="B52" s="44"/>
      <c r="C52" s="50"/>
      <c r="D52" s="50"/>
      <c r="E52" s="52">
        <f t="shared" si="1"/>
        <v>0</v>
      </c>
      <c r="F52" s="50"/>
      <c r="G52" s="50"/>
      <c r="H52" s="52">
        <f t="shared" si="2"/>
        <v>0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94"/>
      <c r="F53" s="1"/>
      <c r="G53" s="1" t="s">
        <v>37</v>
      </c>
      <c r="H53" s="92">
        <f>SUM(E17:E52)</f>
        <v>0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52" t="s">
        <v>54</v>
      </c>
      <c r="B54" s="153"/>
      <c r="C54" s="153"/>
      <c r="D54" s="153"/>
      <c r="E54" s="154"/>
      <c r="F54" s="1"/>
      <c r="G54" s="1" t="s">
        <v>52</v>
      </c>
      <c r="H54" s="92">
        <f>(H53*12%)</f>
        <v>0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55" t="s">
        <v>106</v>
      </c>
      <c r="B55" s="78"/>
      <c r="C55" s="78"/>
      <c r="D55" s="78"/>
      <c r="E55" s="156"/>
      <c r="F55" s="1"/>
      <c r="G55" s="1" t="s">
        <v>49</v>
      </c>
      <c r="H55" s="92">
        <f>SUM(G17:G52)</f>
        <v>0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157"/>
      <c r="E56" s="149"/>
      <c r="F56" s="1"/>
      <c r="G56" s="1" t="s">
        <v>38</v>
      </c>
      <c r="H56" s="92">
        <f>SUM(F17:F52)</f>
        <v>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58"/>
      <c r="B57" s="66"/>
      <c r="C57" s="66"/>
      <c r="D57" s="66"/>
      <c r="E57" s="67"/>
      <c r="F57" s="1"/>
      <c r="G57" s="95" t="s">
        <v>53</v>
      </c>
      <c r="H57" s="159">
        <f>SUM(H53:H56)</f>
        <v>0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19" t="s">
        <v>107</v>
      </c>
      <c r="B58" s="73"/>
      <c r="C58" s="73"/>
      <c r="D58" s="1"/>
      <c r="E58" s="1"/>
      <c r="F58" s="72"/>
      <c r="G58" s="160"/>
      <c r="H58" s="16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21"/>
      <c r="B59" s="66"/>
      <c r="C59" s="66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72" t="s">
        <v>44</v>
      </c>
      <c r="D60" s="1"/>
      <c r="E60" s="1"/>
      <c r="F60" s="1"/>
      <c r="G60" s="162"/>
      <c r="H60" s="163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74" t="s">
        <v>108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30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9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1">
    <mergeCell ref="A3:B3"/>
    <mergeCell ref="A9:H9"/>
    <mergeCell ref="B10:E10"/>
    <mergeCell ref="G10:H10"/>
    <mergeCell ref="B11:E11"/>
    <mergeCell ref="G11:H11"/>
    <mergeCell ref="G12:H12"/>
    <mergeCell ref="B12:E12"/>
    <mergeCell ref="B13:E13"/>
    <mergeCell ref="G13:H13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60:C60"/>
    <mergeCell ref="A62:H62"/>
    <mergeCell ref="A48:B48"/>
    <mergeCell ref="A49:B49"/>
    <mergeCell ref="A50:B50"/>
    <mergeCell ref="A51:B51"/>
    <mergeCell ref="A52:B52"/>
    <mergeCell ref="A55:E57"/>
    <mergeCell ref="A59:C59"/>
  </mergeCells>
  <printOptions horizontalCentered="1"/>
  <pageMargins bottom="0.5" footer="0.0" header="0.0" left="0.26608742872658164" right="0.3611186532717894" top="0.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2.71"/>
    <col customWidth="1" min="2" max="2" width="19.86"/>
    <col customWidth="1" min="3" max="3" width="8.0"/>
    <col customWidth="1" min="4" max="4" width="10.43"/>
    <col customWidth="1" min="5" max="5" width="15.14"/>
    <col customWidth="1" min="6" max="6" width="17.14"/>
    <col customWidth="1" min="7" max="7" width="15.0"/>
    <col customWidth="1" min="8" max="8" width="17.14"/>
    <col customWidth="1" min="9" max="26" width="9.0"/>
  </cols>
  <sheetData>
    <row r="1" ht="12.75" customHeight="1">
      <c r="A1" s="1"/>
      <c r="B1" s="1"/>
      <c r="C1" s="1"/>
      <c r="D1" s="1"/>
      <c r="E1" s="1"/>
      <c r="F1" s="1"/>
      <c r="G1" s="1"/>
      <c r="H1" s="2" t="s">
        <v>96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0.5" customHeight="1">
      <c r="A2" s="1"/>
      <c r="B2" s="1"/>
      <c r="C2" s="3"/>
      <c r="D2" s="3"/>
      <c r="E2" s="1"/>
      <c r="F2" s="1"/>
      <c r="G2" s="5" t="s">
        <v>109</v>
      </c>
      <c r="H2" s="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9.75" customHeight="1">
      <c r="A3" s="8" t="s">
        <v>6</v>
      </c>
      <c r="C3" s="3"/>
      <c r="D3" s="3"/>
      <c r="E3" s="1"/>
      <c r="F3" s="1"/>
      <c r="G3" s="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1" t="s">
        <v>7</v>
      </c>
      <c r="B4" s="11"/>
      <c r="C4" s="3"/>
      <c r="D4" s="3"/>
      <c r="E4" s="1"/>
      <c r="F4" s="1"/>
      <c r="G4" s="1"/>
      <c r="H4" s="1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5" t="s">
        <v>8</v>
      </c>
      <c r="B5" s="12"/>
      <c r="C5" s="12"/>
      <c r="D5" s="1"/>
      <c r="E5" s="1"/>
      <c r="F5" s="1"/>
      <c r="G5" s="17" t="s">
        <v>9</v>
      </c>
      <c r="H5" s="50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2" t="s">
        <v>10</v>
      </c>
      <c r="B6" s="12"/>
      <c r="C6" s="12"/>
      <c r="D6" s="1"/>
      <c r="E6" s="1"/>
      <c r="F6" s="1"/>
      <c r="G6" s="17" t="s">
        <v>11</v>
      </c>
      <c r="H6" s="50" t="str">
        <f>Job_Order!K2</f>
        <v/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2" t="s">
        <v>12</v>
      </c>
      <c r="B7" s="12"/>
      <c r="C7" s="12"/>
      <c r="D7" s="1"/>
      <c r="E7" s="1"/>
      <c r="F7" s="2"/>
      <c r="G7" s="17" t="s">
        <v>98</v>
      </c>
      <c r="H7" s="50" t="str">
        <f>'Quotation_No 1'!H2</f>
        <v/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2" t="str">
        <f>Job_Order!B8</f>
        <v>85644550/ 71219124/  09458757441/ 09525065084- VIBER</v>
      </c>
      <c r="B8" s="12"/>
      <c r="C8" s="12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25" t="s">
        <v>14</v>
      </c>
      <c r="B9" s="27"/>
      <c r="C9" s="27"/>
      <c r="D9" s="27"/>
      <c r="E9" s="27"/>
      <c r="F9" s="27"/>
      <c r="G9" s="27"/>
      <c r="H9" s="28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40" t="s">
        <v>99</v>
      </c>
      <c r="B10" s="76" t="str">
        <f>Job_Order!C10</f>
        <v/>
      </c>
      <c r="C10" s="66"/>
      <c r="D10" s="66"/>
      <c r="E10" s="66"/>
      <c r="F10" s="12" t="s">
        <v>21</v>
      </c>
      <c r="G10" s="76" t="str">
        <f>Job_Order!K10</f>
        <v/>
      </c>
      <c r="H10" s="6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40" t="s">
        <v>100</v>
      </c>
      <c r="B11" s="76" t="str">
        <f>Job_Order!C11</f>
        <v/>
      </c>
      <c r="C11" s="66"/>
      <c r="D11" s="66"/>
      <c r="E11" s="66"/>
      <c r="F11" s="12" t="s">
        <v>101</v>
      </c>
      <c r="G11" s="76" t="str">
        <f>Job_Order!H10</f>
        <v/>
      </c>
      <c r="H11" s="6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40" t="s">
        <v>27</v>
      </c>
      <c r="B12" s="29" t="str">
        <f>Job_Order!C12</f>
        <v/>
      </c>
      <c r="C12" s="30"/>
      <c r="D12" s="30"/>
      <c r="E12" s="30"/>
      <c r="F12" s="12" t="s">
        <v>28</v>
      </c>
      <c r="G12" s="148" t="str">
        <f>Job_Order!K13</f>
        <v/>
      </c>
      <c r="H12" s="149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2" t="s">
        <v>102</v>
      </c>
      <c r="B13" s="29" t="str">
        <f>Job_Order!C13</f>
        <v/>
      </c>
      <c r="C13" s="30"/>
      <c r="D13" s="30"/>
      <c r="E13" s="30"/>
      <c r="F13" s="1" t="s">
        <v>103</v>
      </c>
      <c r="G13" s="29" t="str">
        <f>Job_Order!H11</f>
        <v/>
      </c>
      <c r="H13" s="3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 t="s">
        <v>104</v>
      </c>
      <c r="B14" s="150"/>
      <c r="C14" s="151">
        <f>H57</f>
        <v>0</v>
      </c>
      <c r="D14" s="32" t="s">
        <v>105</v>
      </c>
      <c r="E14" s="150"/>
      <c r="F14" s="1"/>
      <c r="G14" s="150"/>
      <c r="H14" s="150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2"/>
      <c r="B15" s="12"/>
      <c r="C15" s="12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43" t="s">
        <v>32</v>
      </c>
      <c r="B16" s="44"/>
      <c r="C16" s="46" t="s">
        <v>35</v>
      </c>
      <c r="D16" s="47" t="s">
        <v>36</v>
      </c>
      <c r="E16" s="47" t="s">
        <v>37</v>
      </c>
      <c r="F16" s="46" t="s">
        <v>38</v>
      </c>
      <c r="G16" s="46" t="s">
        <v>39</v>
      </c>
      <c r="H16" s="46" t="s">
        <v>40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48"/>
      <c r="B17" s="44"/>
      <c r="C17" s="50"/>
      <c r="D17" s="52"/>
      <c r="E17" s="52">
        <f t="shared" ref="E17:E52" si="1">D17*550</f>
        <v>0</v>
      </c>
      <c r="F17" s="52"/>
      <c r="G17" s="52"/>
      <c r="H17" s="52">
        <f>G17+F17+E17</f>
        <v>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48"/>
      <c r="B18" s="44"/>
      <c r="C18" s="50"/>
      <c r="D18" s="52"/>
      <c r="E18" s="52">
        <f t="shared" si="1"/>
        <v>0</v>
      </c>
      <c r="F18" s="52"/>
      <c r="G18" s="52"/>
      <c r="H18" s="52">
        <f t="shared" ref="H18:H52" si="2">E18+F18+G18</f>
        <v>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48"/>
      <c r="B19" s="44"/>
      <c r="C19" s="50"/>
      <c r="D19" s="52"/>
      <c r="E19" s="52">
        <f t="shared" si="1"/>
        <v>0</v>
      </c>
      <c r="F19" s="52"/>
      <c r="G19" s="52"/>
      <c r="H19" s="52">
        <f t="shared" si="2"/>
        <v>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48"/>
      <c r="B20" s="44"/>
      <c r="C20" s="50"/>
      <c r="D20" s="52"/>
      <c r="E20" s="52">
        <f t="shared" si="1"/>
        <v>0</v>
      </c>
      <c r="F20" s="52"/>
      <c r="G20" s="52"/>
      <c r="H20" s="52">
        <f t="shared" si="2"/>
        <v>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48"/>
      <c r="B21" s="44"/>
      <c r="C21" s="50"/>
      <c r="D21" s="52"/>
      <c r="E21" s="52">
        <f t="shared" si="1"/>
        <v>0</v>
      </c>
      <c r="F21" s="52"/>
      <c r="G21" s="52"/>
      <c r="H21" s="52">
        <f t="shared" si="2"/>
        <v>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48"/>
      <c r="B22" s="44"/>
      <c r="C22" s="50"/>
      <c r="D22" s="52"/>
      <c r="E22" s="52">
        <f t="shared" si="1"/>
        <v>0</v>
      </c>
      <c r="F22" s="52"/>
      <c r="G22" s="52"/>
      <c r="H22" s="60">
        <f t="shared" si="2"/>
        <v>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48"/>
      <c r="B23" s="44"/>
      <c r="C23" s="50"/>
      <c r="D23" s="52"/>
      <c r="E23" s="52">
        <f t="shared" si="1"/>
        <v>0</v>
      </c>
      <c r="F23" s="52"/>
      <c r="G23" s="52"/>
      <c r="H23" s="52">
        <f t="shared" si="2"/>
        <v>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48"/>
      <c r="B24" s="44"/>
      <c r="C24" s="50"/>
      <c r="D24" s="52"/>
      <c r="E24" s="52">
        <f t="shared" si="1"/>
        <v>0</v>
      </c>
      <c r="F24" s="52"/>
      <c r="G24" s="52"/>
      <c r="H24" s="52">
        <f t="shared" si="2"/>
        <v>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48"/>
      <c r="B25" s="44"/>
      <c r="C25" s="50"/>
      <c r="D25" s="52"/>
      <c r="E25" s="52">
        <f t="shared" si="1"/>
        <v>0</v>
      </c>
      <c r="F25" s="52"/>
      <c r="G25" s="52"/>
      <c r="H25" s="52">
        <f t="shared" si="2"/>
        <v>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48"/>
      <c r="B26" s="44"/>
      <c r="C26" s="50"/>
      <c r="D26" s="52"/>
      <c r="E26" s="52">
        <f t="shared" si="1"/>
        <v>0</v>
      </c>
      <c r="F26" s="52"/>
      <c r="G26" s="52"/>
      <c r="H26" s="52">
        <f t="shared" si="2"/>
        <v>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48"/>
      <c r="B27" s="44"/>
      <c r="C27" s="50"/>
      <c r="D27" s="52"/>
      <c r="E27" s="52">
        <f t="shared" si="1"/>
        <v>0</v>
      </c>
      <c r="F27" s="52"/>
      <c r="G27" s="52"/>
      <c r="H27" s="52">
        <f t="shared" si="2"/>
        <v>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48"/>
      <c r="B28" s="44"/>
      <c r="C28" s="50"/>
      <c r="D28" s="52"/>
      <c r="E28" s="52">
        <f t="shared" si="1"/>
        <v>0</v>
      </c>
      <c r="F28" s="52"/>
      <c r="G28" s="52"/>
      <c r="H28" s="52">
        <f t="shared" si="2"/>
        <v>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48"/>
      <c r="B29" s="44"/>
      <c r="C29" s="50"/>
      <c r="D29" s="52"/>
      <c r="E29" s="52">
        <f t="shared" si="1"/>
        <v>0</v>
      </c>
      <c r="F29" s="52"/>
      <c r="G29" s="52"/>
      <c r="H29" s="60">
        <f t="shared" si="2"/>
        <v>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48"/>
      <c r="B30" s="44"/>
      <c r="C30" s="50"/>
      <c r="D30" s="52"/>
      <c r="E30" s="52">
        <f t="shared" si="1"/>
        <v>0</v>
      </c>
      <c r="F30" s="52"/>
      <c r="G30" s="52"/>
      <c r="H30" s="52">
        <f t="shared" si="2"/>
        <v>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48"/>
      <c r="B31" s="44"/>
      <c r="C31" s="50"/>
      <c r="D31" s="52"/>
      <c r="E31" s="52">
        <f t="shared" si="1"/>
        <v>0</v>
      </c>
      <c r="F31" s="52"/>
      <c r="G31" s="52"/>
      <c r="H31" s="52">
        <f t="shared" si="2"/>
        <v>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48"/>
      <c r="B32" s="44"/>
      <c r="C32" s="50"/>
      <c r="D32" s="52"/>
      <c r="E32" s="52">
        <f t="shared" si="1"/>
        <v>0</v>
      </c>
      <c r="F32" s="52"/>
      <c r="G32" s="52"/>
      <c r="H32" s="52">
        <f t="shared" si="2"/>
        <v>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48"/>
      <c r="B33" s="44"/>
      <c r="C33" s="50"/>
      <c r="D33" s="52"/>
      <c r="E33" s="52">
        <f t="shared" si="1"/>
        <v>0</v>
      </c>
      <c r="F33" s="52"/>
      <c r="G33" s="52"/>
      <c r="H33" s="52">
        <f t="shared" si="2"/>
        <v>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48"/>
      <c r="B34" s="44"/>
      <c r="C34" s="50"/>
      <c r="D34" s="52"/>
      <c r="E34" s="52">
        <f t="shared" si="1"/>
        <v>0</v>
      </c>
      <c r="F34" s="52"/>
      <c r="G34" s="52"/>
      <c r="H34" s="52">
        <f t="shared" si="2"/>
        <v>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48"/>
      <c r="B35" s="44"/>
      <c r="C35" s="50"/>
      <c r="D35" s="52"/>
      <c r="E35" s="52">
        <f t="shared" si="1"/>
        <v>0</v>
      </c>
      <c r="F35" s="52"/>
      <c r="G35" s="52"/>
      <c r="H35" s="52">
        <f t="shared" si="2"/>
        <v>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48"/>
      <c r="B36" s="44"/>
      <c r="C36" s="50"/>
      <c r="D36" s="52"/>
      <c r="E36" s="52">
        <f t="shared" si="1"/>
        <v>0</v>
      </c>
      <c r="F36" s="52"/>
      <c r="G36" s="52"/>
      <c r="H36" s="52">
        <f t="shared" si="2"/>
        <v>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48"/>
      <c r="B37" s="44"/>
      <c r="C37" s="50"/>
      <c r="D37" s="52"/>
      <c r="E37" s="52">
        <f t="shared" si="1"/>
        <v>0</v>
      </c>
      <c r="F37" s="52"/>
      <c r="G37" s="52"/>
      <c r="H37" s="52">
        <f t="shared" si="2"/>
        <v>0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48"/>
      <c r="B38" s="44"/>
      <c r="C38" s="50"/>
      <c r="D38" s="52"/>
      <c r="E38" s="52">
        <f t="shared" si="1"/>
        <v>0</v>
      </c>
      <c r="F38" s="52"/>
      <c r="G38" s="52"/>
      <c r="H38" s="52">
        <f t="shared" si="2"/>
        <v>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48"/>
      <c r="B39" s="44"/>
      <c r="C39" s="50"/>
      <c r="D39" s="52"/>
      <c r="E39" s="52">
        <f t="shared" si="1"/>
        <v>0</v>
      </c>
      <c r="F39" s="52"/>
      <c r="G39" s="52"/>
      <c r="H39" s="52">
        <f t="shared" si="2"/>
        <v>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48"/>
      <c r="B40" s="44"/>
      <c r="C40" s="50"/>
      <c r="D40" s="52"/>
      <c r="E40" s="52">
        <f t="shared" si="1"/>
        <v>0</v>
      </c>
      <c r="F40" s="52"/>
      <c r="G40" s="52"/>
      <c r="H40" s="52">
        <f t="shared" si="2"/>
        <v>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48"/>
      <c r="B41" s="44"/>
      <c r="C41" s="50"/>
      <c r="D41" s="52"/>
      <c r="E41" s="52">
        <f t="shared" si="1"/>
        <v>0</v>
      </c>
      <c r="F41" s="52"/>
      <c r="G41" s="52"/>
      <c r="H41" s="52">
        <f t="shared" si="2"/>
        <v>0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48"/>
      <c r="B42" s="44"/>
      <c r="C42" s="50"/>
      <c r="D42" s="52"/>
      <c r="E42" s="52">
        <f t="shared" si="1"/>
        <v>0</v>
      </c>
      <c r="F42" s="52"/>
      <c r="G42" s="52"/>
      <c r="H42" s="52">
        <f t="shared" si="2"/>
        <v>0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48"/>
      <c r="B43" s="44"/>
      <c r="C43" s="50"/>
      <c r="D43" s="52"/>
      <c r="E43" s="52">
        <f t="shared" si="1"/>
        <v>0</v>
      </c>
      <c r="F43" s="52"/>
      <c r="G43" s="52"/>
      <c r="H43" s="52">
        <f t="shared" si="2"/>
        <v>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48"/>
      <c r="B44" s="44"/>
      <c r="C44" s="50"/>
      <c r="D44" s="52"/>
      <c r="E44" s="52">
        <f t="shared" si="1"/>
        <v>0</v>
      </c>
      <c r="F44" s="52"/>
      <c r="G44" s="52"/>
      <c r="H44" s="52">
        <f t="shared" si="2"/>
        <v>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48"/>
      <c r="B45" s="44"/>
      <c r="C45" s="50"/>
      <c r="D45" s="52"/>
      <c r="E45" s="52">
        <f t="shared" si="1"/>
        <v>0</v>
      </c>
      <c r="F45" s="52"/>
      <c r="G45" s="52"/>
      <c r="H45" s="52">
        <f t="shared" si="2"/>
        <v>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48"/>
      <c r="B46" s="44"/>
      <c r="C46" s="50"/>
      <c r="D46" s="52"/>
      <c r="E46" s="52">
        <f t="shared" si="1"/>
        <v>0</v>
      </c>
      <c r="F46" s="52"/>
      <c r="G46" s="52"/>
      <c r="H46" s="52">
        <f t="shared" si="2"/>
        <v>0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48"/>
      <c r="B47" s="44"/>
      <c r="C47" s="50"/>
      <c r="D47" s="52"/>
      <c r="E47" s="52">
        <f t="shared" si="1"/>
        <v>0</v>
      </c>
      <c r="F47" s="52"/>
      <c r="G47" s="52"/>
      <c r="H47" s="52">
        <f t="shared" si="2"/>
        <v>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48"/>
      <c r="B48" s="44"/>
      <c r="C48" s="50"/>
      <c r="D48" s="52"/>
      <c r="E48" s="52">
        <f t="shared" si="1"/>
        <v>0</v>
      </c>
      <c r="F48" s="52"/>
      <c r="G48" s="52"/>
      <c r="H48" s="52">
        <f t="shared" si="2"/>
        <v>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48"/>
      <c r="B49" s="44"/>
      <c r="C49" s="50"/>
      <c r="D49" s="52"/>
      <c r="E49" s="52">
        <f t="shared" si="1"/>
        <v>0</v>
      </c>
      <c r="F49" s="52"/>
      <c r="G49" s="52"/>
      <c r="H49" s="52">
        <f t="shared" si="2"/>
        <v>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48"/>
      <c r="B50" s="44"/>
      <c r="C50" s="50"/>
      <c r="D50" s="52"/>
      <c r="E50" s="52">
        <f t="shared" si="1"/>
        <v>0</v>
      </c>
      <c r="F50" s="52"/>
      <c r="G50" s="52"/>
      <c r="H50" s="52">
        <f t="shared" si="2"/>
        <v>0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48"/>
      <c r="B51" s="44"/>
      <c r="C51" s="50"/>
      <c r="D51" s="52"/>
      <c r="E51" s="52">
        <f t="shared" si="1"/>
        <v>0</v>
      </c>
      <c r="F51" s="52"/>
      <c r="G51" s="52"/>
      <c r="H51" s="52">
        <f t="shared" si="2"/>
        <v>0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48"/>
      <c r="B52" s="44"/>
      <c r="C52" s="50"/>
      <c r="D52" s="50"/>
      <c r="E52" s="52">
        <f t="shared" si="1"/>
        <v>0</v>
      </c>
      <c r="F52" s="50"/>
      <c r="G52" s="50"/>
      <c r="H52" s="52">
        <f t="shared" si="2"/>
        <v>0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94"/>
      <c r="F53" s="1"/>
      <c r="G53" s="1" t="s">
        <v>37</v>
      </c>
      <c r="H53" s="92">
        <f>SUM(E17:E52)</f>
        <v>0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52" t="s">
        <v>54</v>
      </c>
      <c r="B54" s="153"/>
      <c r="C54" s="153"/>
      <c r="D54" s="153"/>
      <c r="E54" s="154"/>
      <c r="F54" s="1"/>
      <c r="G54" s="1" t="s">
        <v>52</v>
      </c>
      <c r="H54" s="92">
        <f>(H53*12%)</f>
        <v>0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55" t="s">
        <v>106</v>
      </c>
      <c r="B55" s="78"/>
      <c r="C55" s="78"/>
      <c r="D55" s="78"/>
      <c r="E55" s="156"/>
      <c r="F55" s="1"/>
      <c r="G55" s="1" t="s">
        <v>49</v>
      </c>
      <c r="H55" s="92">
        <f>SUM(G17:G52)</f>
        <v>0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157"/>
      <c r="E56" s="149"/>
      <c r="F56" s="1"/>
      <c r="G56" s="1" t="s">
        <v>38</v>
      </c>
      <c r="H56" s="92">
        <f>SUM(F17:F52)</f>
        <v>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58"/>
      <c r="B57" s="66"/>
      <c r="C57" s="66"/>
      <c r="D57" s="66"/>
      <c r="E57" s="67"/>
      <c r="F57" s="1"/>
      <c r="G57" s="95" t="s">
        <v>53</v>
      </c>
      <c r="H57" s="159">
        <f>SUM(H53:H56)</f>
        <v>0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19" t="s">
        <v>107</v>
      </c>
      <c r="B58" s="73"/>
      <c r="C58" s="73"/>
      <c r="D58" s="1"/>
      <c r="E58" s="1"/>
      <c r="F58" s="72"/>
      <c r="G58" s="160"/>
      <c r="H58" s="16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21"/>
      <c r="B59" s="66"/>
      <c r="C59" s="66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72" t="s">
        <v>44</v>
      </c>
      <c r="D60" s="1"/>
      <c r="E60" s="1"/>
      <c r="F60" s="1"/>
      <c r="G60" s="162"/>
      <c r="H60" s="163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74" t="s">
        <v>108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30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9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1">
    <mergeCell ref="A3:B3"/>
    <mergeCell ref="A9:H9"/>
    <mergeCell ref="B10:E10"/>
    <mergeCell ref="G10:H10"/>
    <mergeCell ref="B11:E11"/>
    <mergeCell ref="G11:H11"/>
    <mergeCell ref="G12:H12"/>
    <mergeCell ref="B12:E12"/>
    <mergeCell ref="B13:E13"/>
    <mergeCell ref="G13:H13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60:C60"/>
    <mergeCell ref="A62:H62"/>
    <mergeCell ref="A48:B48"/>
    <mergeCell ref="A49:B49"/>
    <mergeCell ref="A50:B50"/>
    <mergeCell ref="A51:B51"/>
    <mergeCell ref="A52:B52"/>
    <mergeCell ref="A55:E57"/>
    <mergeCell ref="A59:C59"/>
  </mergeCells>
  <printOptions horizontalCentered="1"/>
  <pageMargins bottom="0.5" footer="0.0" header="0.0" left="0.26608742872658164" right="0.3611186532717894" top="0.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2" width="9.0"/>
    <col customWidth="1" min="13" max="13" width="10.86"/>
    <col customWidth="1" min="14" max="26" width="9.0"/>
  </cols>
  <sheetData>
    <row r="1">
      <c r="A1" s="164"/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</row>
    <row r="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</row>
    <row r="3">
      <c r="A3" s="164"/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</row>
    <row r="4">
      <c r="A4" s="164"/>
      <c r="B4" s="164"/>
      <c r="C4" s="164"/>
      <c r="D4" s="164"/>
      <c r="E4" s="164"/>
      <c r="F4" s="164"/>
      <c r="G4" s="164"/>
      <c r="H4" s="164"/>
      <c r="I4" s="164"/>
      <c r="J4" s="164"/>
      <c r="K4" s="164"/>
      <c r="L4" s="164"/>
      <c r="M4" s="164"/>
    </row>
    <row r="5">
      <c r="A5" s="165" t="s">
        <v>110</v>
      </c>
      <c r="B5" s="166"/>
      <c r="C5" s="167" t="str">
        <f>Job_Order!C10</f>
        <v/>
      </c>
      <c r="D5" s="168"/>
      <c r="E5" s="168"/>
      <c r="F5" s="164"/>
      <c r="G5" s="164"/>
      <c r="H5" s="164"/>
      <c r="I5" s="164"/>
      <c r="J5" s="164"/>
      <c r="K5" s="164"/>
      <c r="L5" s="165" t="s">
        <v>111</v>
      </c>
      <c r="M5" s="164" t="str">
        <f>Job_Order!K5</f>
        <v/>
      </c>
    </row>
    <row r="6">
      <c r="A6" s="165" t="s">
        <v>112</v>
      </c>
      <c r="B6" s="166"/>
      <c r="C6" s="167" t="str">
        <f>Job_Order!K10</f>
        <v/>
      </c>
      <c r="D6" s="168"/>
      <c r="E6" s="168"/>
      <c r="F6" s="169" t="s">
        <v>113</v>
      </c>
      <c r="G6" s="166"/>
      <c r="H6" s="164"/>
      <c r="I6" s="164"/>
      <c r="J6" s="164"/>
      <c r="K6" s="164"/>
      <c r="L6" s="164"/>
      <c r="M6" s="164"/>
    </row>
    <row r="7">
      <c r="A7" s="165" t="s">
        <v>114</v>
      </c>
      <c r="B7" s="166"/>
      <c r="C7" s="164"/>
      <c r="D7" s="167" t="str">
        <f>Job_Order!H10</f>
        <v/>
      </c>
      <c r="E7" s="168"/>
      <c r="F7" s="168"/>
      <c r="G7" s="164"/>
      <c r="H7" s="164"/>
      <c r="I7" s="164"/>
      <c r="J7" s="164"/>
      <c r="K7" s="164"/>
      <c r="L7" s="164"/>
      <c r="M7" s="164"/>
    </row>
    <row r="8">
      <c r="A8" s="164"/>
      <c r="B8" s="164"/>
      <c r="C8" s="164"/>
      <c r="D8" s="164"/>
      <c r="E8" s="164"/>
      <c r="F8" s="164"/>
      <c r="G8" s="164"/>
      <c r="H8" s="164"/>
      <c r="I8" s="164"/>
      <c r="J8" s="164"/>
      <c r="K8" s="164"/>
      <c r="L8" s="164"/>
      <c r="M8" s="164"/>
    </row>
    <row r="9">
      <c r="A9" s="164"/>
      <c r="B9" s="164"/>
      <c r="C9" s="164"/>
      <c r="D9" s="164"/>
      <c r="E9" s="164"/>
      <c r="F9" s="164"/>
      <c r="G9" s="164"/>
      <c r="H9" s="164"/>
      <c r="I9" s="164"/>
      <c r="J9" s="164"/>
      <c r="K9" s="164"/>
      <c r="L9" s="164"/>
      <c r="M9" s="164"/>
    </row>
    <row r="10">
      <c r="A10" s="164"/>
      <c r="B10" s="164"/>
      <c r="C10" s="164"/>
      <c r="D10" s="164"/>
      <c r="E10" s="164"/>
      <c r="F10" s="164"/>
      <c r="G10" s="164"/>
      <c r="H10" s="164"/>
      <c r="I10" s="164"/>
      <c r="J10" s="164"/>
      <c r="K10" s="164"/>
      <c r="L10" s="164"/>
      <c r="M10" s="164"/>
    </row>
    <row r="11">
      <c r="A11" s="164"/>
      <c r="B11" s="164"/>
      <c r="C11" s="164"/>
      <c r="D11" s="164"/>
      <c r="E11" s="164"/>
      <c r="F11" s="164"/>
      <c r="G11" s="164"/>
      <c r="H11" s="164"/>
      <c r="I11" s="164"/>
      <c r="J11" s="164"/>
      <c r="K11" s="164"/>
      <c r="L11" s="164"/>
      <c r="M11" s="164"/>
    </row>
    <row r="12">
      <c r="A12" s="164"/>
      <c r="B12" s="164"/>
      <c r="C12" s="164"/>
      <c r="D12" s="164"/>
      <c r="E12" s="164"/>
      <c r="F12" s="164"/>
      <c r="G12" s="164"/>
      <c r="H12" s="164"/>
      <c r="I12" s="164"/>
      <c r="J12" s="164"/>
      <c r="K12" s="164"/>
      <c r="L12" s="164"/>
      <c r="M12" s="164"/>
    </row>
    <row r="13">
      <c r="A13" s="164"/>
      <c r="B13" s="164"/>
      <c r="C13" s="164"/>
      <c r="D13" s="164"/>
      <c r="E13" s="164"/>
      <c r="F13" s="164"/>
      <c r="G13" s="164"/>
      <c r="H13" s="164"/>
      <c r="I13" s="164"/>
      <c r="J13" s="164"/>
      <c r="K13" s="164"/>
      <c r="L13" s="164"/>
      <c r="M13" s="164"/>
    </row>
    <row r="14">
      <c r="A14" s="164"/>
      <c r="B14" s="164"/>
      <c r="C14" s="164"/>
      <c r="D14" s="164"/>
      <c r="E14" s="164"/>
      <c r="F14" s="164"/>
      <c r="G14" s="164"/>
      <c r="H14" s="164"/>
      <c r="I14" s="164"/>
      <c r="J14" s="164"/>
      <c r="K14" s="164"/>
      <c r="L14" s="164"/>
      <c r="M14" s="164"/>
    </row>
    <row r="15">
      <c r="A15" s="164"/>
      <c r="B15" s="164"/>
      <c r="C15" s="164"/>
      <c r="D15" s="164"/>
      <c r="E15" s="164"/>
      <c r="F15" s="164"/>
      <c r="G15" s="164"/>
      <c r="H15" s="164"/>
      <c r="I15" s="164"/>
      <c r="J15" s="164"/>
      <c r="K15" s="164"/>
      <c r="L15" s="164"/>
      <c r="M15" s="164"/>
    </row>
    <row r="16">
      <c r="A16" s="164"/>
      <c r="B16" s="164"/>
      <c r="C16" s="164"/>
      <c r="D16" s="164"/>
      <c r="E16" s="164"/>
      <c r="F16" s="164"/>
      <c r="G16" s="164"/>
      <c r="H16" s="164"/>
      <c r="I16" s="164"/>
      <c r="J16" s="164"/>
      <c r="K16" s="164"/>
      <c r="L16" s="164"/>
      <c r="M16" s="164"/>
    </row>
    <row r="17">
      <c r="A17" s="164"/>
      <c r="B17" s="164"/>
      <c r="C17" s="164"/>
      <c r="D17" s="164"/>
      <c r="E17" s="164"/>
      <c r="F17" s="164"/>
      <c r="G17" s="164"/>
      <c r="H17" s="164"/>
      <c r="I17" s="164"/>
      <c r="J17" s="164"/>
      <c r="K17" s="164"/>
      <c r="L17" s="164"/>
      <c r="M17" s="164"/>
    </row>
    <row r="18">
      <c r="A18" s="164"/>
      <c r="B18" s="164"/>
      <c r="C18" s="164"/>
      <c r="D18" s="164"/>
      <c r="E18" s="164"/>
      <c r="F18" s="164"/>
      <c r="G18" s="164"/>
      <c r="H18" s="164"/>
      <c r="I18" s="164"/>
      <c r="J18" s="164"/>
      <c r="K18" s="164"/>
      <c r="L18" s="164"/>
      <c r="M18" s="164"/>
    </row>
    <row r="19">
      <c r="A19" s="164"/>
      <c r="B19" s="164"/>
      <c r="C19" s="164"/>
      <c r="D19" s="164"/>
      <c r="E19" s="164"/>
      <c r="F19" s="164"/>
      <c r="G19" s="164"/>
      <c r="H19" s="164"/>
      <c r="I19" s="164"/>
      <c r="J19" s="164"/>
      <c r="K19" s="164"/>
      <c r="L19" s="164"/>
      <c r="M19" s="164"/>
    </row>
    <row r="20">
      <c r="A20" s="164"/>
      <c r="B20" s="164"/>
      <c r="C20" s="164"/>
      <c r="D20" s="164"/>
      <c r="E20" s="164"/>
      <c r="F20" s="164"/>
      <c r="G20" s="164"/>
      <c r="H20" s="164"/>
      <c r="I20" s="164"/>
      <c r="J20" s="164"/>
      <c r="K20" s="164"/>
      <c r="L20" s="164"/>
      <c r="M20" s="164"/>
    </row>
    <row r="21" ht="15.75" customHeight="1">
      <c r="A21" s="164"/>
      <c r="B21" s="164"/>
      <c r="C21" s="164"/>
      <c r="D21" s="164"/>
      <c r="E21" s="164"/>
      <c r="F21" s="164"/>
      <c r="G21" s="164"/>
      <c r="H21" s="164"/>
      <c r="I21" s="164"/>
      <c r="J21" s="164"/>
      <c r="K21" s="164"/>
      <c r="L21" s="164"/>
      <c r="M21" s="164"/>
    </row>
    <row r="22" ht="15.75" customHeight="1">
      <c r="A22" s="164"/>
      <c r="B22" s="164"/>
      <c r="C22" s="164"/>
      <c r="D22" s="164"/>
      <c r="E22" s="164"/>
      <c r="F22" s="164"/>
      <c r="G22" s="164"/>
      <c r="H22" s="164"/>
      <c r="I22" s="164"/>
      <c r="J22" s="164"/>
      <c r="K22" s="164"/>
      <c r="L22" s="164"/>
      <c r="M22" s="164"/>
    </row>
    <row r="23" ht="15.75" customHeight="1">
      <c r="A23" s="164"/>
      <c r="B23" s="164"/>
      <c r="C23" s="164"/>
      <c r="D23" s="164"/>
      <c r="E23" s="164"/>
      <c r="F23" s="164"/>
      <c r="G23" s="164"/>
      <c r="H23" s="164"/>
      <c r="I23" s="164"/>
      <c r="J23" s="164"/>
      <c r="K23" s="164"/>
      <c r="L23" s="164"/>
      <c r="M23" s="164"/>
    </row>
    <row r="24" ht="15.75" customHeight="1">
      <c r="A24" s="164"/>
      <c r="B24" s="164"/>
      <c r="C24" s="164"/>
      <c r="D24" s="164"/>
      <c r="E24" s="164"/>
      <c r="F24" s="164"/>
      <c r="G24" s="164"/>
      <c r="H24" s="164"/>
      <c r="I24" s="164"/>
      <c r="J24" s="164"/>
      <c r="K24" s="164"/>
      <c r="L24" s="164"/>
      <c r="M24" s="164"/>
    </row>
    <row r="25" ht="15.75" customHeight="1">
      <c r="A25" s="164"/>
      <c r="B25" s="164"/>
      <c r="C25" s="164"/>
      <c r="D25" s="164"/>
      <c r="E25" s="164"/>
      <c r="F25" s="164"/>
      <c r="G25" s="164"/>
      <c r="H25" s="164"/>
      <c r="I25" s="164"/>
      <c r="J25" s="164"/>
      <c r="K25" s="164"/>
      <c r="L25" s="164"/>
      <c r="M25" s="164"/>
    </row>
    <row r="26" ht="15.75" customHeight="1">
      <c r="A26" s="164"/>
      <c r="B26" s="164"/>
      <c r="C26" s="164"/>
      <c r="D26" s="164"/>
      <c r="E26" s="164"/>
      <c r="F26" s="164"/>
      <c r="G26" s="164"/>
      <c r="H26" s="164"/>
      <c r="I26" s="164"/>
      <c r="J26" s="164"/>
      <c r="K26" s="164"/>
      <c r="L26" s="164"/>
      <c r="M26" s="164"/>
    </row>
    <row r="27" ht="15.75" customHeight="1">
      <c r="A27" s="164"/>
      <c r="B27" s="164"/>
      <c r="C27" s="164"/>
      <c r="D27" s="164"/>
      <c r="E27" s="164"/>
      <c r="F27" s="164"/>
      <c r="G27" s="164"/>
      <c r="H27" s="164"/>
      <c r="I27" s="164"/>
      <c r="J27" s="164"/>
      <c r="K27" s="164"/>
      <c r="L27" s="164"/>
      <c r="M27" s="164"/>
    </row>
    <row r="28" ht="15.75" customHeight="1">
      <c r="A28" s="164"/>
      <c r="B28" s="164"/>
      <c r="C28" s="164"/>
      <c r="D28" s="164"/>
      <c r="E28" s="164"/>
      <c r="F28" s="164"/>
      <c r="G28" s="164"/>
      <c r="H28" s="164"/>
      <c r="I28" s="164"/>
      <c r="J28" s="164"/>
      <c r="K28" s="164"/>
      <c r="L28" s="164"/>
      <c r="M28" s="164"/>
    </row>
    <row r="29" ht="15.75" customHeight="1">
      <c r="A29" s="164"/>
      <c r="B29" s="164"/>
      <c r="C29" s="164"/>
      <c r="D29" s="164"/>
      <c r="E29" s="164"/>
      <c r="F29" s="164"/>
      <c r="G29" s="164"/>
      <c r="H29" s="164"/>
      <c r="I29" s="164"/>
      <c r="J29" s="164"/>
      <c r="K29" s="164"/>
      <c r="L29" s="164"/>
      <c r="M29" s="164"/>
    </row>
    <row r="30" ht="15.75" customHeight="1">
      <c r="A30" s="164"/>
      <c r="B30" s="164"/>
      <c r="C30" s="164"/>
      <c r="D30" s="164"/>
      <c r="E30" s="164"/>
      <c r="F30" s="164"/>
      <c r="G30" s="164"/>
      <c r="H30" s="164"/>
      <c r="I30" s="164"/>
      <c r="J30" s="164"/>
      <c r="K30" s="164"/>
      <c r="L30" s="164"/>
      <c r="M30" s="164"/>
    </row>
    <row r="31" ht="15.75" customHeight="1">
      <c r="A31" s="164"/>
      <c r="B31" s="164"/>
      <c r="C31" s="164"/>
      <c r="D31" s="164"/>
      <c r="E31" s="164"/>
      <c r="F31" s="164"/>
      <c r="G31" s="164"/>
      <c r="H31" s="164"/>
      <c r="I31" s="164"/>
      <c r="J31" s="164"/>
      <c r="K31" s="164"/>
      <c r="L31" s="164"/>
      <c r="M31" s="164"/>
    </row>
    <row r="32" ht="15.75" customHeight="1">
      <c r="A32" s="164"/>
      <c r="B32" s="164"/>
      <c r="C32" s="164"/>
      <c r="D32" s="164"/>
      <c r="E32" s="164"/>
      <c r="F32" s="164"/>
      <c r="G32" s="164"/>
      <c r="H32" s="164"/>
      <c r="I32" s="164"/>
      <c r="J32" s="164"/>
      <c r="K32" s="164"/>
      <c r="L32" s="164"/>
      <c r="M32" s="164"/>
    </row>
    <row r="33" ht="15.75" customHeight="1">
      <c r="A33" s="164"/>
      <c r="B33" s="164"/>
      <c r="C33" s="164"/>
      <c r="D33" s="164"/>
      <c r="E33" s="164"/>
      <c r="F33" s="164"/>
      <c r="G33" s="164"/>
      <c r="H33" s="164"/>
      <c r="I33" s="164"/>
      <c r="J33" s="164"/>
      <c r="K33" s="164"/>
      <c r="L33" s="164"/>
      <c r="M33" s="164"/>
    </row>
    <row r="34" ht="15.75" customHeight="1">
      <c r="A34" s="164"/>
      <c r="B34" s="164"/>
      <c r="C34" s="164"/>
      <c r="D34" s="164"/>
      <c r="E34" s="164"/>
      <c r="F34" s="164"/>
      <c r="G34" s="164"/>
      <c r="H34" s="164"/>
      <c r="I34" s="164"/>
      <c r="J34" s="164"/>
      <c r="K34" s="164"/>
      <c r="L34" s="164"/>
      <c r="M34" s="164"/>
    </row>
    <row r="35" ht="15.75" customHeight="1">
      <c r="A35" s="164"/>
      <c r="B35" s="164"/>
      <c r="C35" s="164"/>
      <c r="D35" s="164"/>
      <c r="E35" s="164"/>
      <c r="F35" s="164"/>
      <c r="G35" s="164"/>
      <c r="H35" s="164"/>
      <c r="I35" s="164"/>
      <c r="J35" s="164"/>
      <c r="K35" s="164"/>
      <c r="L35" s="164"/>
      <c r="M35" s="164"/>
    </row>
    <row r="36" ht="15.75" customHeight="1">
      <c r="A36" s="164"/>
      <c r="B36" s="164"/>
      <c r="C36" s="164"/>
      <c r="D36" s="164"/>
      <c r="E36" s="164"/>
      <c r="F36" s="164"/>
      <c r="G36" s="164"/>
      <c r="H36" s="164"/>
      <c r="I36" s="164"/>
      <c r="J36" s="164"/>
      <c r="K36" s="164"/>
      <c r="L36" s="164"/>
      <c r="M36" s="164"/>
    </row>
    <row r="37" ht="15.75" customHeight="1">
      <c r="A37" s="164"/>
      <c r="B37" s="164"/>
      <c r="C37" s="164"/>
      <c r="D37" s="164"/>
      <c r="E37" s="164"/>
      <c r="F37" s="164"/>
      <c r="G37" s="164"/>
      <c r="H37" s="164"/>
      <c r="I37" s="164"/>
      <c r="J37" s="164"/>
      <c r="K37" s="164"/>
      <c r="L37" s="164"/>
      <c r="M37" s="164"/>
    </row>
    <row r="38" ht="15.75" customHeight="1">
      <c r="A38" s="164"/>
      <c r="B38" s="164"/>
      <c r="C38" s="164"/>
      <c r="D38" s="164"/>
      <c r="E38" s="164"/>
      <c r="F38" s="164"/>
      <c r="G38" s="164"/>
      <c r="H38" s="164"/>
      <c r="I38" s="164"/>
      <c r="J38" s="164"/>
      <c r="K38" s="164"/>
      <c r="L38" s="164"/>
      <c r="M38" s="164"/>
    </row>
    <row r="39" ht="15.75" customHeight="1">
      <c r="A39" s="164"/>
      <c r="B39" s="164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</row>
    <row r="40" ht="15.75" customHeight="1">
      <c r="A40" s="164"/>
      <c r="B40" s="164"/>
      <c r="C40" s="164"/>
      <c r="D40" s="164"/>
      <c r="E40" s="164"/>
      <c r="F40" s="164"/>
      <c r="G40" s="164"/>
      <c r="H40" s="164"/>
      <c r="I40" s="164"/>
      <c r="J40" s="164"/>
      <c r="K40" s="164"/>
      <c r="L40" s="164"/>
      <c r="M40" s="164"/>
    </row>
    <row r="41" ht="15.75" customHeight="1">
      <c r="A41" s="164"/>
      <c r="B41" s="164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</row>
    <row r="42" ht="15.75" customHeight="1">
      <c r="A42" s="164"/>
      <c r="B42" s="164"/>
      <c r="C42" s="164"/>
      <c r="D42" s="164"/>
      <c r="E42" s="164"/>
      <c r="F42" s="164"/>
      <c r="G42" s="164"/>
      <c r="H42" s="164"/>
      <c r="I42" s="164"/>
      <c r="J42" s="164"/>
      <c r="K42" s="164"/>
      <c r="L42" s="164"/>
      <c r="M42" s="164"/>
    </row>
    <row r="43" ht="15.75" customHeight="1">
      <c r="A43" s="164"/>
      <c r="B43" s="164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</row>
    <row r="44" ht="15.75" customHeight="1">
      <c r="A44" s="164"/>
      <c r="B44" s="164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</row>
    <row r="45" ht="15.75" customHeight="1">
      <c r="A45" s="164"/>
      <c r="B45" s="164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</row>
    <row r="46" ht="15.75" customHeight="1">
      <c r="A46" s="164"/>
      <c r="B46" s="164"/>
      <c r="C46" s="164"/>
      <c r="D46" s="164"/>
      <c r="E46" s="164"/>
      <c r="F46" s="164"/>
      <c r="G46" s="164"/>
      <c r="H46" s="164"/>
      <c r="I46" s="164"/>
      <c r="J46" s="164"/>
      <c r="K46" s="164"/>
      <c r="L46" s="164"/>
      <c r="M46" s="164"/>
    </row>
    <row r="47" ht="15.75" customHeight="1">
      <c r="A47" s="164"/>
      <c r="B47" s="164"/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4"/>
    </row>
    <row r="48" ht="15.75" customHeight="1">
      <c r="A48" s="164"/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64"/>
      <c r="M48" s="164"/>
    </row>
    <row r="49" ht="15.75" customHeight="1">
      <c r="A49" s="164"/>
      <c r="B49" s="164"/>
      <c r="C49" s="164"/>
      <c r="D49" s="164"/>
      <c r="E49" s="164"/>
      <c r="F49" s="164"/>
      <c r="G49" s="164"/>
      <c r="H49" s="164"/>
      <c r="I49" s="164"/>
      <c r="J49" s="164"/>
      <c r="K49" s="164"/>
      <c r="L49" s="164"/>
      <c r="M49" s="164"/>
    </row>
    <row r="50" ht="15.75" customHeight="1">
      <c r="A50" s="164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64"/>
      <c r="M50" s="164"/>
    </row>
    <row r="51" ht="15.75" customHeight="1">
      <c r="A51" s="164"/>
      <c r="B51" s="164"/>
      <c r="C51" s="164"/>
      <c r="D51" s="164"/>
      <c r="E51" s="164"/>
      <c r="F51" s="164"/>
      <c r="G51" s="164"/>
      <c r="H51" s="164"/>
      <c r="I51" s="164"/>
      <c r="J51" s="164"/>
      <c r="K51" s="164"/>
      <c r="L51" s="164"/>
      <c r="M51" s="164"/>
    </row>
    <row r="52" ht="15.75" customHeight="1">
      <c r="A52" s="164"/>
      <c r="B52" s="164"/>
      <c r="C52" s="164"/>
      <c r="D52" s="164"/>
      <c r="E52" s="164"/>
      <c r="F52" s="164"/>
      <c r="G52" s="164"/>
      <c r="H52" s="164"/>
      <c r="I52" s="164"/>
      <c r="J52" s="164"/>
      <c r="K52" s="164"/>
      <c r="L52" s="164"/>
      <c r="M52" s="164"/>
    </row>
    <row r="53" ht="15.75" customHeight="1">
      <c r="A53" s="164"/>
      <c r="B53" s="164"/>
      <c r="C53" s="164"/>
      <c r="D53" s="164"/>
      <c r="E53" s="164"/>
      <c r="F53" s="164"/>
      <c r="G53" s="164"/>
      <c r="H53" s="164"/>
      <c r="I53" s="164"/>
      <c r="J53" s="164"/>
      <c r="K53" s="164"/>
      <c r="L53" s="164"/>
      <c r="M53" s="164"/>
    </row>
    <row r="54" ht="15.75" customHeight="1">
      <c r="A54" s="164"/>
      <c r="B54" s="164"/>
      <c r="C54" s="164"/>
      <c r="D54" s="164"/>
      <c r="E54" s="164"/>
      <c r="F54" s="164"/>
      <c r="G54" s="164"/>
      <c r="H54" s="164"/>
      <c r="I54" s="164"/>
      <c r="J54" s="164"/>
      <c r="K54" s="164"/>
      <c r="L54" s="164"/>
      <c r="M54" s="164"/>
    </row>
    <row r="55" ht="15.75" customHeight="1">
      <c r="A55" s="164"/>
      <c r="B55" s="164"/>
      <c r="C55" s="164"/>
      <c r="D55" s="164"/>
      <c r="E55" s="164"/>
      <c r="F55" s="164"/>
      <c r="G55" s="164"/>
      <c r="H55" s="164"/>
      <c r="I55" s="164"/>
      <c r="J55" s="164"/>
      <c r="K55" s="164"/>
      <c r="L55" s="164"/>
      <c r="M55" s="164"/>
    </row>
    <row r="56" ht="15.75" customHeight="1">
      <c r="A56" s="164"/>
      <c r="B56" s="164"/>
      <c r="C56" s="164"/>
      <c r="D56" s="164"/>
      <c r="E56" s="164"/>
      <c r="F56" s="164"/>
      <c r="G56" s="164"/>
      <c r="H56" s="164"/>
      <c r="I56" s="164"/>
      <c r="J56" s="164"/>
      <c r="K56" s="164"/>
      <c r="L56" s="164"/>
      <c r="M56" s="164"/>
    </row>
    <row r="57" ht="15.75" customHeight="1">
      <c r="A57" s="164"/>
      <c r="B57" s="164"/>
      <c r="C57" s="164"/>
      <c r="D57" s="164"/>
      <c r="E57" s="164"/>
      <c r="F57" s="164"/>
      <c r="G57" s="164"/>
      <c r="H57" s="164"/>
      <c r="I57" s="164"/>
      <c r="J57" s="164"/>
      <c r="K57" s="164"/>
      <c r="L57" s="164"/>
      <c r="M57" s="164"/>
    </row>
    <row r="58" ht="15.75" customHeight="1">
      <c r="A58" s="164"/>
      <c r="B58" s="164"/>
      <c r="C58" s="164"/>
      <c r="D58" s="164"/>
      <c r="E58" s="164"/>
      <c r="F58" s="164"/>
      <c r="G58" s="164"/>
      <c r="H58" s="164"/>
      <c r="I58" s="164"/>
      <c r="J58" s="164"/>
      <c r="K58" s="164"/>
      <c r="L58" s="164"/>
      <c r="M58" s="164"/>
    </row>
    <row r="59" ht="15.75" customHeight="1">
      <c r="A59" s="164"/>
      <c r="B59" s="164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</row>
    <row r="60" ht="15.75" customHeight="1">
      <c r="A60" s="164"/>
      <c r="B60" s="164"/>
      <c r="C60" s="164"/>
      <c r="D60" s="164"/>
      <c r="E60" s="164"/>
      <c r="F60" s="164"/>
      <c r="G60" s="164"/>
      <c r="H60" s="164"/>
      <c r="I60" s="164"/>
      <c r="J60" s="164"/>
      <c r="K60" s="164"/>
      <c r="L60" s="164"/>
      <c r="M60" s="164"/>
    </row>
    <row r="61" ht="15.75" customHeight="1">
      <c r="A61" s="164"/>
      <c r="B61" s="164"/>
      <c r="C61" s="164"/>
      <c r="D61" s="164">
        <v>0.0</v>
      </c>
      <c r="E61" s="164"/>
      <c r="F61" s="164"/>
      <c r="G61" s="164"/>
      <c r="H61" s="170" t="str">
        <f>Job_Order!C10</f>
        <v/>
      </c>
      <c r="I61" s="168"/>
      <c r="J61" s="168"/>
      <c r="K61" s="168"/>
      <c r="L61" s="168"/>
      <c r="M61" s="164"/>
    </row>
    <row r="62" ht="15.75" customHeight="1">
      <c r="A62" s="164"/>
      <c r="B62" s="166" t="s">
        <v>115</v>
      </c>
      <c r="C62" s="164"/>
      <c r="D62" s="164"/>
      <c r="E62" s="164"/>
      <c r="F62" s="164"/>
      <c r="G62" s="164"/>
      <c r="H62" s="171"/>
      <c r="I62" s="172" t="s">
        <v>116</v>
      </c>
      <c r="J62" s="171"/>
      <c r="K62" s="171"/>
      <c r="L62" s="171"/>
      <c r="M62" s="164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5:E5"/>
    <mergeCell ref="C6:E6"/>
    <mergeCell ref="D7:F7"/>
    <mergeCell ref="H61:L61"/>
  </mergeCells>
  <printOptions/>
  <pageMargins bottom="0.75" footer="0.0" header="0.0" left="0.5321748574531633" right="0.285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2004-08-16T18:44:00Z</dcterms:created>
  <dc:creator>Vertex42.com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2010-2019 Vertex42 LLC</vt:lpwstr>
  </property>
  <property fmtid="{D5CDD505-2E9C-101B-9397-08002B2CF9AE}" pid="3" name="Version">
    <vt:lpwstr>1.3.2</vt:lpwstr>
  </property>
  <property fmtid="{D5CDD505-2E9C-101B-9397-08002B2CF9AE}" pid="4" name="Source">
    <vt:lpwstr>https://www.vertex42.com/ExcelTemplates/excel-invoice-template.html</vt:lpwstr>
  </property>
  <property fmtid="{D5CDD505-2E9C-101B-9397-08002B2CF9AE}" pid="5" name="ICV">
    <vt:lpwstr>3886FACF7B8E47DFB2094E346F0E2255_12</vt:lpwstr>
  </property>
  <property fmtid="{D5CDD505-2E9C-101B-9397-08002B2CF9AE}" pid="6" name="KSOProductBuildVer">
    <vt:lpwstr>2057-12.2.0.23206</vt:lpwstr>
  </property>
</Properties>
</file>