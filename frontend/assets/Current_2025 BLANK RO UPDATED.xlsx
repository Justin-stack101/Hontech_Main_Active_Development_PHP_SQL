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Job_Order" sheetId="1" state="visible" r:id="rId1"/>
    <sheet name="Quotation_No 1" sheetId="2" state="visible" r:id="rId2"/>
    <sheet name="Quotation_No 2" sheetId="3" state="visible" r:id="rId3"/>
    <sheet name="Quotation_No 3" sheetId="4" state="visible" r:id="rId4"/>
    <sheet name="Billing_No 1" sheetId="5" state="visible" r:id="rId5"/>
    <sheet name="Billing_No 2" sheetId="6" state="visible" r:id="rId6"/>
    <sheet name="CheckList_Result" sheetId="7" state="visible" r:id="rId7"/>
  </sheets>
  <definedNames>
    <definedName name="valuevx">42.314159</definedName>
    <definedName name="vertex42_copyright">"© 2011-2014 Vertex42 LLC"</definedName>
    <definedName name="vertex42_id">"work-order-template.xlsx"</definedName>
    <definedName name="vertex42_title">"Work Order Form Template"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36">
    <font>
      <name val="Trebuchet MS"/>
      <color rgb="FF000000"/>
      <sz val="10"/>
      <scheme val="minor"/>
    </font>
    <font>
      <name val="Arial"/>
      <color theme="1"/>
      <sz val="10"/>
    </font>
    <font>
      <name val="Arial"/>
      <color theme="1"/>
      <sz val="24"/>
    </font>
    <font>
      <name val="Arial"/>
      <b val="1"/>
      <color theme="1"/>
      <sz val="26"/>
    </font>
    <font>
      <name val="Arial"/>
      <b val="1"/>
      <color theme="1"/>
      <sz val="12"/>
    </font>
    <font>
      <name val="Arial"/>
      <i val="1"/>
      <color theme="1"/>
      <sz val="9"/>
    </font>
    <font>
      <name val="Arial"/>
      <color theme="1"/>
      <sz val="16"/>
    </font>
    <font>
      <name val="Arial"/>
      <b val="1"/>
      <color theme="1"/>
      <sz val="18"/>
    </font>
    <font>
      <name val="Arial"/>
      <b val="1"/>
      <color theme="1"/>
      <sz val="10"/>
    </font>
    <font>
      <name val="Arial"/>
      <color theme="1"/>
      <sz val="12"/>
    </font>
    <font>
      <name val="Arial"/>
      <b val="1"/>
      <color theme="1"/>
      <sz val="11"/>
    </font>
    <font/>
    <font>
      <name val="Arial"/>
      <b val="1"/>
      <color rgb="FFFF0000"/>
      <sz val="12"/>
    </font>
    <font>
      <name val="Arial"/>
      <color theme="1"/>
      <sz val="9"/>
    </font>
    <font>
      <name val="Arial"/>
      <b val="1"/>
      <color theme="1"/>
      <sz val="9"/>
    </font>
    <font>
      <name val="Arial"/>
      <color theme="1"/>
      <sz val="8"/>
    </font>
    <font>
      <name val="Arial"/>
      <color theme="1"/>
      <sz val="1"/>
    </font>
    <font>
      <name val="Arial"/>
      <i val="1"/>
      <color theme="1"/>
      <sz val="12"/>
    </font>
    <font>
      <name val="Arial"/>
      <color theme="1"/>
      <sz val="11"/>
    </font>
    <font>
      <name val="Arial"/>
      <b val="1"/>
      <i val="1"/>
      <color theme="1"/>
      <sz val="9"/>
    </font>
    <font>
      <name val="Arial"/>
      <color theme="1"/>
      <sz val="9"/>
      <u val="single"/>
    </font>
    <font>
      <name val="Arial"/>
      <color theme="1"/>
      <sz val="9"/>
      <u val="single"/>
    </font>
    <font>
      <name val="Arial"/>
      <i val="1"/>
      <color theme="1"/>
      <sz val="10"/>
    </font>
    <font>
      <name val="Arial"/>
      <b val="1"/>
      <color rgb="FFFF0000"/>
      <sz val="11"/>
    </font>
    <font>
      <name val="Trebuchet MS"/>
      <color theme="1"/>
      <sz val="10"/>
    </font>
    <font>
      <name val="Trebuchet MS"/>
      <b val="1"/>
      <color theme="1"/>
      <sz val="12"/>
    </font>
    <font>
      <name val="Trebuchet MS"/>
      <b val="1"/>
      <color theme="1"/>
      <sz val="11"/>
    </font>
    <font>
      <name val="Trebuchet MS"/>
      <b val="1"/>
      <color theme="1"/>
      <sz val="14"/>
    </font>
    <font>
      <name val="Segoe UI"/>
      <b val="1"/>
      <sz val="9"/>
    </font>
    <font>
      <name val="Segoe UI"/>
      <b val="1"/>
      <sz val="8"/>
    </font>
    <font>
      <name val="Segoe UI"/>
      <b val="1"/>
      <sz val="11"/>
    </font>
    <font>
      <name val="Segoe UI"/>
      <b val="1"/>
      <color rgb="00FFFFFF"/>
      <sz val="8"/>
    </font>
    <font>
      <name val="Segoe UI"/>
      <b val="1"/>
      <color rgb="00FFFFFF"/>
      <sz val="10"/>
    </font>
    <font>
      <name val="Segoe UI"/>
      <sz val="8"/>
    </font>
    <font>
      <name val="Segoe UI"/>
      <b val="1"/>
      <i val="1"/>
      <sz val="8"/>
    </font>
    <font>
      <name val="Segoe UI"/>
      <i val="1"/>
      <sz val="7"/>
    </font>
  </fonts>
  <fills count="11">
    <fill>
      <patternFill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0000B050"/>
        <bgColor rgb="0000B050"/>
      </patternFill>
    </fill>
    <fill>
      <patternFill patternType="solid">
        <fgColor rgb="00FFD966"/>
        <bgColor rgb="00FFD966"/>
      </patternFill>
    </fill>
    <fill>
      <patternFill patternType="solid">
        <fgColor rgb="00FF0000"/>
        <bgColor rgb="00FF0000"/>
      </patternFill>
    </fill>
    <fill>
      <patternFill patternType="solid">
        <fgColor rgb="00374151"/>
        <bgColor rgb="00374151"/>
      </patternFill>
    </fill>
    <fill>
      <patternFill patternType="solid">
        <fgColor rgb="00D9D9D9"/>
        <bgColor rgb="00D9D9D9"/>
      </patternFill>
    </fill>
  </fills>
  <borders count="85">
    <border/>
    <border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thin">
        <color rgb="FF000000"/>
      </top>
    </border>
    <border>
      <left style="thin">
        <color rgb="FF000000"/>
      </left>
      <top style="thin">
        <color rgb="FF7F7F7F"/>
      </top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7F7F7F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7F7F7F"/>
      </top>
    </border>
    <border>
      <left style="medium">
        <color rgb="FF000000"/>
      </left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7F7F7F"/>
      </top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top style="thin">
        <color rgb="FF7F7F7F"/>
      </top>
      <bottom style="thin">
        <color rgb="FF7F7F7F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7F7F7F"/>
      </left>
    </border>
    <border>
      <right style="thin">
        <color rgb="FF7F7F7F"/>
      </right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7F7F7F"/>
      </left>
      <bottom style="thin">
        <color rgb="FF7F7F7F"/>
      </bottom>
    </border>
    <border>
      <bottom style="thin">
        <color rgb="FF7F7F7F"/>
      </bottom>
    </border>
    <border>
      <right style="thin">
        <color rgb="FF7F7F7F"/>
      </right>
      <bottom style="thin">
        <color rgb="FF7F7F7F"/>
      </bottom>
    </border>
    <border>
      <top style="dotted">
        <color rgb="FF000000"/>
      </top>
    </border>
    <border>
      <right style="thin">
        <color rgb="FF000000"/>
      </right>
    </border>
    <border>
      <left style="thin">
        <color rgb="FF7F7F7F"/>
      </left>
      <right/>
      <top style="thin">
        <color rgb="FF7F7F7F"/>
      </top>
      <bottom/>
    </border>
    <border>
      <left/>
      <right/>
      <top style="thin">
        <color rgb="FF7F7F7F"/>
      </top>
      <bottom/>
    </border>
    <border>
      <left/>
      <right style="thin">
        <color rgb="FF7F7F7F"/>
      </right>
      <top style="thin">
        <color rgb="FF7F7F7F"/>
      </top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/>
      <top/>
      <bottom/>
    </border>
    <border>
      <left/>
      <top/>
      <bottom/>
    </border>
    <border>
      <top/>
      <bottom/>
    </border>
    <border>
      <left/>
      <right/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7F7F7F"/>
      </top>
    </border>
    <border>
      <right style="thin">
        <color rgb="FF7F7F7F"/>
      </right>
      <top style="thin">
        <color rgb="FF7F7F7F"/>
      </top>
    </border>
    <border>
      <left style="thin">
        <color rgb="FF7F7F7F"/>
      </left>
      <right style="thin">
        <color rgb="FF7F7F7F"/>
      </right>
    </border>
    <border>
      <left style="thin">
        <color rgb="FF7F7F7F"/>
      </left>
      <right style="thin">
        <color rgb="FF7F7F7F"/>
      </right>
      <bottom style="thin">
        <color rgb="FF7F7F7F"/>
      </bottom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  <border>
      <left style="thin">
        <color rgb="00A0A0A0"/>
      </left>
      <top style="thin">
        <color rgb="00A0A0A0"/>
      </top>
    </border>
    <border>
      <top style="thin">
        <color rgb="00A0A0A0"/>
      </top>
    </border>
    <border>
      <right style="thin">
        <color rgb="00A0A0A0"/>
      </right>
      <top style="thin">
        <color rgb="00A0A0A0"/>
      </top>
    </border>
    <border>
      <left style="thin">
        <color rgb="00A0A0A0"/>
      </left>
    </border>
    <border>
      <right style="thin">
        <color rgb="00A0A0A0"/>
      </right>
    </border>
    <border>
      <left style="thin">
        <color rgb="00A0A0A0"/>
      </left>
      <bottom style="thin">
        <color rgb="00A0A0A0"/>
      </bottom>
    </border>
    <border>
      <bottom style="thin">
        <color rgb="00A0A0A0"/>
      </bottom>
    </border>
    <border>
      <right style="thin">
        <color rgb="00A0A0A0"/>
      </right>
      <bottom style="thin">
        <color rgb="00A0A0A0"/>
      </bottom>
    </border>
  </borders>
  <cellStyleXfs count="1">
    <xf numFmtId="0" fontId="0" fillId="0" borderId="0"/>
  </cellStyleXfs>
  <cellXfs count="26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1" fillId="0" borderId="1" pivotButton="0" quotePrefix="0" xfId="0"/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/>
    </xf>
    <xf numFmtId="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right"/>
    </xf>
    <xf numFmtId="0" fontId="1" fillId="0" borderId="2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0" fontId="1" fillId="0" borderId="3" applyAlignment="1" pivotButton="0" quotePrefix="0" xfId="0">
      <alignment horizontal="center" shrinkToFit="1"/>
    </xf>
    <xf numFmtId="0" fontId="9" fillId="0" borderId="0" applyAlignment="1" pivotButton="0" quotePrefix="0" xfId="0">
      <alignment horizontal="left"/>
    </xf>
    <xf numFmtId="0" fontId="10" fillId="2" borderId="4" applyAlignment="1" pivotButton="0" quotePrefix="0" xfId="0">
      <alignment horizontal="center"/>
    </xf>
    <xf numFmtId="0" fontId="11" fillId="0" borderId="5" pivotButton="0" quotePrefix="0" xfId="0"/>
    <xf numFmtId="0" fontId="10" fillId="2" borderId="6" applyAlignment="1" pivotButton="0" quotePrefix="0" xfId="0">
      <alignment horizontal="center"/>
    </xf>
    <xf numFmtId="0" fontId="11" fillId="0" borderId="7" pivotButton="0" quotePrefix="0" xfId="0"/>
    <xf numFmtId="0" fontId="11" fillId="0" borderId="8" pivotButton="0" quotePrefix="0" xfId="0"/>
    <xf numFmtId="0" fontId="11" fillId="0" borderId="9" pivotButton="0" quotePrefix="0" xfId="0"/>
    <xf numFmtId="0" fontId="1" fillId="0" borderId="10" applyAlignment="1" pivotButton="0" quotePrefix="0" xfId="0">
      <alignment horizontal="left"/>
    </xf>
    <xf numFmtId="0" fontId="1" fillId="0" borderId="11" applyAlignment="1" pivotButton="0" quotePrefix="0" xfId="0">
      <alignment horizontal="left"/>
    </xf>
    <xf numFmtId="0" fontId="1" fillId="0" borderId="12" applyAlignment="1" pivotButton="0" quotePrefix="0" xfId="0">
      <alignment horizontal="center"/>
    </xf>
    <xf numFmtId="0" fontId="11" fillId="0" borderId="12" pivotButton="0" quotePrefix="0" xfId="0"/>
    <xf numFmtId="0" fontId="1" fillId="0" borderId="13" applyAlignment="1" pivotButton="0" quotePrefix="0" xfId="0">
      <alignment horizontal="left"/>
    </xf>
    <xf numFmtId="0" fontId="1" fillId="0" borderId="14" applyAlignment="1" pivotButton="0" quotePrefix="0" xfId="0">
      <alignment horizontal="center"/>
    </xf>
    <xf numFmtId="0" fontId="1" fillId="0" borderId="15" applyAlignment="1" pivotButton="0" quotePrefix="0" xfId="0">
      <alignment horizontal="left"/>
    </xf>
    <xf numFmtId="0" fontId="11" fillId="0" borderId="14" pivotButton="0" quotePrefix="0" xfId="0"/>
    <xf numFmtId="0" fontId="1" fillId="0" borderId="1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0" fontId="11" fillId="0" borderId="19" pivotButton="0" quotePrefix="0" xfId="0"/>
    <xf numFmtId="0" fontId="1" fillId="0" borderId="20" applyAlignment="1" pivotButton="0" quotePrefix="0" xfId="0">
      <alignment horizontal="left"/>
    </xf>
    <xf numFmtId="0" fontId="1" fillId="0" borderId="21" applyAlignment="1" pivotButton="0" quotePrefix="0" xfId="0">
      <alignment horizontal="left"/>
    </xf>
    <xf numFmtId="0" fontId="1" fillId="0" borderId="20" pivotButton="0" quotePrefix="0" xfId="0"/>
    <xf numFmtId="0" fontId="1" fillId="0" borderId="22" applyAlignment="1" pivotButton="0" quotePrefix="0" xfId="0">
      <alignment horizontal="right"/>
    </xf>
    <xf numFmtId="0" fontId="1" fillId="0" borderId="23" applyAlignment="1" pivotButton="0" quotePrefix="0" xfId="0">
      <alignment horizontal="left"/>
    </xf>
    <xf numFmtId="0" fontId="1" fillId="0" borderId="24" applyAlignment="1" pivotButton="0" quotePrefix="0" xfId="0">
      <alignment horizontal="left"/>
    </xf>
    <xf numFmtId="0" fontId="1" fillId="0" borderId="23" applyAlignment="1" pivotButton="0" quotePrefix="0" xfId="0">
      <alignment horizontal="right"/>
    </xf>
    <xf numFmtId="0" fontId="1" fillId="0" borderId="23" pivotButton="0" quotePrefix="0" xfId="0"/>
    <xf numFmtId="0" fontId="1" fillId="0" borderId="24" applyAlignment="1" pivotButton="0" quotePrefix="0" xfId="0">
      <alignment horizontal="right"/>
    </xf>
    <xf numFmtId="0" fontId="1" fillId="0" borderId="25" pivotButton="0" quotePrefix="0" xfId="0"/>
    <xf numFmtId="0" fontId="12" fillId="0" borderId="26" applyAlignment="1" pivotButton="0" quotePrefix="0" xfId="0">
      <alignment horizontal="left" vertical="top"/>
    </xf>
    <xf numFmtId="0" fontId="1" fillId="0" borderId="1" applyAlignment="1" pivotButton="0" quotePrefix="0" xfId="0">
      <alignment horizontal="left"/>
    </xf>
    <xf numFmtId="0" fontId="11" fillId="0" borderId="26" pivotButton="0" quotePrefix="0" xfId="0"/>
    <xf numFmtId="0" fontId="10" fillId="2" borderId="27" applyAlignment="1" pivotButton="0" quotePrefix="0" xfId="0">
      <alignment horizontal="center"/>
    </xf>
    <xf numFmtId="0" fontId="11" fillId="0" borderId="15" pivotButton="0" quotePrefix="0" xfId="0"/>
    <xf numFmtId="0" fontId="8" fillId="2" borderId="27" applyAlignment="1" pivotButton="0" quotePrefix="0" xfId="0">
      <alignment horizontal="center"/>
    </xf>
    <xf numFmtId="0" fontId="10" fillId="2" borderId="3" applyAlignment="1" pivotButton="0" quotePrefix="0" xfId="0">
      <alignment horizontal="center"/>
    </xf>
    <xf numFmtId="0" fontId="10" fillId="2" borderId="3" applyAlignment="1" pivotButton="0" quotePrefix="0" xfId="0">
      <alignment horizontal="center" shrinkToFit="1"/>
    </xf>
    <xf numFmtId="43" fontId="1" fillId="0" borderId="0" pivotButton="0" quotePrefix="0" xfId="0"/>
    <xf numFmtId="0" fontId="1" fillId="0" borderId="0" applyAlignment="1" pivotButton="0" quotePrefix="0" xfId="0">
      <alignment horizontal="center" vertical="top" wrapText="1"/>
    </xf>
    <xf numFmtId="0" fontId="1" fillId="0" borderId="28" applyAlignment="1" pivotButton="0" quotePrefix="0" xfId="0">
      <alignment horizontal="center" vertical="top" wrapText="1"/>
    </xf>
    <xf numFmtId="0" fontId="1" fillId="0" borderId="27" applyAlignment="1" pivotButton="0" quotePrefix="0" xfId="0">
      <alignment horizontal="left" vertical="top"/>
    </xf>
    <xf numFmtId="0" fontId="11" fillId="0" borderId="1" pivotButton="0" quotePrefix="0" xfId="0"/>
    <xf numFmtId="0" fontId="1" fillId="0" borderId="3" applyAlignment="1" pivotButton="0" quotePrefix="0" xfId="0">
      <alignment horizontal="center"/>
    </xf>
    <xf numFmtId="0" fontId="11" fillId="0" borderId="29" pivotButton="0" quotePrefix="0" xfId="0"/>
    <xf numFmtId="4" fontId="1" fillId="0" borderId="3" applyAlignment="1" pivotButton="0" quotePrefix="0" xfId="0">
      <alignment horizontal="center"/>
    </xf>
    <xf numFmtId="0" fontId="9" fillId="0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right" wrapText="1"/>
    </xf>
    <xf numFmtId="0" fontId="1" fillId="0" borderId="1" applyAlignment="1" pivotButton="0" quotePrefix="0" xfId="0">
      <alignment horizontal="center" wrapText="1"/>
    </xf>
    <xf numFmtId="0" fontId="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center"/>
    </xf>
    <xf numFmtId="0" fontId="13" fillId="0" borderId="0" pivotButton="0" quotePrefix="0" xfId="0"/>
    <xf numFmtId="4" fontId="1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center"/>
    </xf>
    <xf numFmtId="0" fontId="14" fillId="0" borderId="13" applyAlignment="1" pivotButton="0" quotePrefix="0" xfId="0">
      <alignment horizontal="center" vertical="top"/>
    </xf>
    <xf numFmtId="0" fontId="11" fillId="0" borderId="13" pivotButton="0" quotePrefix="0" xfId="0"/>
    <xf numFmtId="0" fontId="8" fillId="2" borderId="30" applyAlignment="1" pivotButton="0" quotePrefix="0" xfId="0">
      <alignment horizontal="center" vertical="center" wrapText="1"/>
    </xf>
    <xf numFmtId="0" fontId="11" fillId="0" borderId="31" pivotButton="0" quotePrefix="0" xfId="0"/>
    <xf numFmtId="0" fontId="8" fillId="2" borderId="32" applyAlignment="1" pivotButton="0" quotePrefix="0" xfId="0">
      <alignment horizontal="center"/>
    </xf>
    <xf numFmtId="0" fontId="11" fillId="0" borderId="33" pivotButton="0" quotePrefix="0" xfId="0"/>
    <xf numFmtId="0" fontId="8" fillId="0" borderId="0" pivotButton="0" quotePrefix="0" xfId="0"/>
    <xf numFmtId="0" fontId="11" fillId="0" borderId="34" pivotButton="0" quotePrefix="0" xfId="0"/>
    <xf numFmtId="0" fontId="14" fillId="2" borderId="3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0" fontId="8" fillId="2" borderId="35" applyAlignment="1" pivotButton="0" quotePrefix="0" xfId="0">
      <alignment horizontal="center" vertical="center" wrapText="1"/>
    </xf>
    <xf numFmtId="0" fontId="1" fillId="0" borderId="36" applyAlignment="1" pivotButton="0" quotePrefix="0" xfId="0">
      <alignment horizontal="center"/>
    </xf>
    <xf numFmtId="0" fontId="1" fillId="0" borderId="3" pivotButton="0" quotePrefix="0" xfId="0"/>
    <xf numFmtId="4" fontId="1" fillId="0" borderId="3" pivotButton="0" quotePrefix="0" xfId="0"/>
    <xf numFmtId="4" fontId="1" fillId="0" borderId="35" pivotButton="0" quotePrefix="0" xfId="0"/>
    <xf numFmtId="0" fontId="15" fillId="0" borderId="3" applyAlignment="1" pivotButton="0" quotePrefix="0" xfId="0">
      <alignment horizontal="center"/>
    </xf>
    <xf numFmtId="0" fontId="8" fillId="0" borderId="27" applyAlignment="1" pivotButton="0" quotePrefix="0" xfId="0">
      <alignment horizontal="left" vertical="top"/>
    </xf>
    <xf numFmtId="0" fontId="16" fillId="0" borderId="0" pivotButton="0" quotePrefix="0" xfId="0"/>
    <xf numFmtId="0" fontId="10" fillId="0" borderId="0" pivotButton="0" quotePrefix="0" xfId="0"/>
    <xf numFmtId="0" fontId="1" fillId="0" borderId="37" applyAlignment="1" pivotButton="0" quotePrefix="0" xfId="0">
      <alignment horizontal="center"/>
    </xf>
    <xf numFmtId="4" fontId="8" fillId="3" borderId="3" pivotButton="0" quotePrefix="0" xfId="0"/>
    <xf numFmtId="0" fontId="11" fillId="0" borderId="38" pivotButton="0" quotePrefix="0" xfId="0"/>
    <xf numFmtId="0" fontId="1" fillId="0" borderId="39" pivotButton="0" quotePrefix="0" xfId="0"/>
    <xf numFmtId="4" fontId="1" fillId="0" borderId="39" pivotButton="0" quotePrefix="0" xfId="0"/>
    <xf numFmtId="0" fontId="1" fillId="0" borderId="39" applyAlignment="1" pivotButton="0" quotePrefix="0" xfId="0">
      <alignment horizontal="center"/>
    </xf>
    <xf numFmtId="4" fontId="1" fillId="0" borderId="39" applyAlignment="1" pivotButton="0" quotePrefix="0" xfId="0">
      <alignment horizontal="center"/>
    </xf>
    <xf numFmtId="4" fontId="1" fillId="0" borderId="40" pivotButton="0" quotePrefix="0" xfId="0"/>
    <xf numFmtId="0" fontId="8" fillId="4" borderId="41" applyAlignment="1" pivotButton="0" quotePrefix="0" xfId="0">
      <alignment horizontal="center" vertical="center"/>
    </xf>
    <xf numFmtId="0" fontId="11" fillId="0" borderId="42" pivotButton="0" quotePrefix="0" xfId="0"/>
    <xf numFmtId="43" fontId="1" fillId="0" borderId="43" pivotButton="0" quotePrefix="0" xfId="0"/>
    <xf numFmtId="0" fontId="11" fillId="0" borderId="44" pivotButton="0" quotePrefix="0" xfId="0"/>
    <xf numFmtId="0" fontId="1" fillId="0" borderId="0" applyAlignment="1" pivotButton="0" quotePrefix="0" xfId="0">
      <alignment vertical="top"/>
    </xf>
    <xf numFmtId="43" fontId="1" fillId="0" borderId="45" pivotButton="0" quotePrefix="0" xfId="0"/>
    <xf numFmtId="0" fontId="13" fillId="0" borderId="46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center"/>
    </xf>
    <xf numFmtId="0" fontId="13" fillId="0" borderId="47" pivotButton="0" quotePrefix="0" xfId="0"/>
    <xf numFmtId="43" fontId="8" fillId="3" borderId="48" pivotButton="0" quotePrefix="0" xfId="0"/>
    <xf numFmtId="0" fontId="13" fillId="0" borderId="46" applyAlignment="1" pivotButton="0" quotePrefix="0" xfId="0">
      <alignment horizontal="left" vertical="top" wrapText="1"/>
    </xf>
    <xf numFmtId="0" fontId="11" fillId="0" borderId="47" pivotButton="0" quotePrefix="0" xfId="0"/>
    <xf numFmtId="0" fontId="11" fillId="0" borderId="46" pivotButton="0" quotePrefix="0" xfId="0"/>
    <xf numFmtId="0" fontId="13" fillId="0" borderId="49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top"/>
    </xf>
    <xf numFmtId="0" fontId="11" fillId="0" borderId="50" pivotButton="0" quotePrefix="0" xfId="0"/>
    <xf numFmtId="0" fontId="1" fillId="0" borderId="13" applyAlignment="1" pivotButton="0" quotePrefix="0" xfId="0">
      <alignment horizontal="center" vertical="top"/>
    </xf>
    <xf numFmtId="0" fontId="11" fillId="0" borderId="51" pivotButton="0" quotePrefix="0" xfId="0"/>
    <xf numFmtId="0" fontId="14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/>
    </xf>
    <xf numFmtId="0" fontId="18" fillId="0" borderId="0" pivotButton="0" quotePrefix="0" xfId="0"/>
    <xf numFmtId="0" fontId="14" fillId="0" borderId="13" applyAlignment="1" pivotButton="0" quotePrefix="0" xfId="0">
      <alignment horizontal="center"/>
    </xf>
    <xf numFmtId="0" fontId="19" fillId="0" borderId="0" pivotButton="0" quotePrefix="0" xfId="0"/>
    <xf numFmtId="0" fontId="18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18" fillId="0" borderId="13" applyAlignment="1" pivotButton="0" quotePrefix="0" xfId="0">
      <alignment horizontal="center" vertical="top"/>
    </xf>
    <xf numFmtId="0" fontId="21" fillId="0" borderId="1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18" fillId="0" borderId="52" pivotButton="0" quotePrefix="0" xfId="0"/>
    <xf numFmtId="0" fontId="18" fillId="0" borderId="52" applyAlignment="1" pivotButton="0" quotePrefix="0" xfId="0">
      <alignment horizontal="center" vertical="top"/>
    </xf>
    <xf numFmtId="0" fontId="23" fillId="0" borderId="0" pivotButton="0" quotePrefix="0" xfId="0"/>
    <xf numFmtId="0" fontId="18" fillId="0" borderId="0" applyAlignment="1" pivotButton="0" quotePrefix="0" xfId="0">
      <alignment horizontal="center" vertical="top"/>
    </xf>
    <xf numFmtId="0" fontId="1" fillId="0" borderId="12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164" fontId="1" fillId="0" borderId="1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wrapText="1"/>
    </xf>
    <xf numFmtId="0" fontId="1" fillId="0" borderId="0" applyAlignment="1" pivotButton="0" quotePrefix="0" xfId="0">
      <alignment horizontal="center"/>
    </xf>
    <xf numFmtId="0" fontId="11" fillId="0" borderId="53" pivotButton="0" quotePrefix="0" xfId="0"/>
    <xf numFmtId="0" fontId="1" fillId="0" borderId="13" pivotButton="0" quotePrefix="0" xfId="0"/>
    <xf numFmtId="3" fontId="8" fillId="0" borderId="12" applyAlignment="1" pivotButton="0" quotePrefix="0" xfId="0">
      <alignment horizontal="center"/>
    </xf>
    <xf numFmtId="0" fontId="8" fillId="4" borderId="54" pivotButton="0" quotePrefix="0" xfId="0"/>
    <xf numFmtId="0" fontId="8" fillId="4" borderId="55" pivotButton="0" quotePrefix="0" xfId="0"/>
    <xf numFmtId="0" fontId="8" fillId="4" borderId="56" pivotButton="0" quotePrefix="0" xfId="0"/>
    <xf numFmtId="0" fontId="13" fillId="0" borderId="57" applyAlignment="1" pivotButton="0" quotePrefix="0" xfId="0">
      <alignment horizontal="left" vertical="top" wrapText="1"/>
    </xf>
    <xf numFmtId="0" fontId="11" fillId="0" borderId="58" pivotButton="0" quotePrefix="0" xfId="0"/>
    <xf numFmtId="0" fontId="11" fillId="0" borderId="21" pivotButton="0" quotePrefix="0" xfId="0"/>
    <xf numFmtId="0" fontId="11" fillId="0" borderId="28" pivotButton="0" quotePrefix="0" xfId="0"/>
    <xf numFmtId="4" fontId="8" fillId="3" borderId="59" pivotButton="0" quotePrefix="0" xfId="0"/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4" fillId="0" borderId="0" pivotButton="0" quotePrefix="0" xfId="0"/>
    <xf numFmtId="4" fontId="4" fillId="0" borderId="0" pivotButton="0" quotePrefix="0" xfId="0"/>
    <xf numFmtId="0" fontId="24" fillId="5" borderId="60" pivotButton="0" quotePrefix="1" xfId="0"/>
    <xf numFmtId="0" fontId="24" fillId="5" borderId="60" pivotButton="0" quotePrefix="0" xfId="0"/>
    <xf numFmtId="0" fontId="25" fillId="5" borderId="60" pivotButton="0" quotePrefix="0" xfId="0"/>
    <xf numFmtId="0" fontId="26" fillId="5" borderId="60" pivotButton="0" quotePrefix="0" xfId="0"/>
    <xf numFmtId="0" fontId="24" fillId="5" borderId="61" pivotButton="0" quotePrefix="0" xfId="0"/>
    <xf numFmtId="0" fontId="11" fillId="0" borderId="62" pivotButton="0" quotePrefix="0" xfId="0"/>
    <xf numFmtId="0" fontId="27" fillId="5" borderId="60" pivotButton="0" quotePrefix="0" xfId="0"/>
    <xf numFmtId="0" fontId="24" fillId="5" borderId="61" applyAlignment="1" pivotButton="0" quotePrefix="0" xfId="0">
      <alignment horizontal="center"/>
    </xf>
    <xf numFmtId="0" fontId="24" fillId="5" borderId="63" pivotButton="0" quotePrefix="0" xfId="0"/>
    <xf numFmtId="0" fontId="26" fillId="5" borderId="63" pivotButton="0" quotePrefix="0" xfId="0"/>
    <xf numFmtId="0" fontId="0" fillId="0" borderId="0" pivotButton="0" quotePrefix="0" xfId="0"/>
    <xf numFmtId="0" fontId="10" fillId="2" borderId="45" applyAlignment="1" pivotButton="0" quotePrefix="0" xfId="0">
      <alignment horizontal="center"/>
    </xf>
    <xf numFmtId="0" fontId="0" fillId="0" borderId="5" pivotButton="0" quotePrefix="0" xfId="0"/>
    <xf numFmtId="0" fontId="0" fillId="0" borderId="7" pivotButton="0" quotePrefix="0" xfId="0"/>
    <xf numFmtId="0" fontId="0" fillId="0" borderId="12" pivotButton="0" quotePrefix="0" xfId="0"/>
    <xf numFmtId="0" fontId="0" fillId="0" borderId="26" pivotButton="0" quotePrefix="0" xfId="0"/>
    <xf numFmtId="0" fontId="8" fillId="2" borderId="3" applyAlignment="1" pivotButton="0" quotePrefix="0" xfId="0">
      <alignment horizontal="center"/>
    </xf>
    <xf numFmtId="0" fontId="0" fillId="0" borderId="15" pivotButton="0" quotePrefix="0" xfId="0"/>
    <xf numFmtId="43" fontId="1" fillId="0" borderId="0" pivotButton="0" quotePrefix="0" xfId="0"/>
    <xf numFmtId="0" fontId="1" fillId="0" borderId="68" applyAlignment="1" pivotButton="0" quotePrefix="0" xfId="0">
      <alignment horizontal="center" vertical="top" wrapText="1"/>
    </xf>
    <xf numFmtId="0" fontId="0" fillId="0" borderId="1" pivotButton="0" quotePrefix="0" xfId="0"/>
    <xf numFmtId="0" fontId="0" fillId="0" borderId="29" pivotButton="0" quotePrefix="0" xfId="0"/>
    <xf numFmtId="0" fontId="0" fillId="0" borderId="13" pivotButton="0" quotePrefix="0" xfId="0"/>
    <xf numFmtId="0" fontId="8" fillId="2" borderId="71" applyAlignment="1" pivotButton="0" quotePrefix="0" xfId="0">
      <alignment horizontal="center" vertical="center" wrapText="1"/>
    </xf>
    <xf numFmtId="0" fontId="0" fillId="0" borderId="31" pivotButton="0" quotePrefix="0" xfId="0"/>
    <xf numFmtId="0" fontId="8" fillId="2" borderId="69" applyAlignment="1" pivotButton="0" quotePrefix="0" xfId="0">
      <alignment horizontal="center"/>
    </xf>
    <xf numFmtId="0" fontId="0" fillId="0" borderId="33" pivotButton="0" quotePrefix="0" xfId="0"/>
    <xf numFmtId="0" fontId="8" fillId="2" borderId="70" applyAlignment="1" pivotButton="0" quotePrefix="0" xfId="0">
      <alignment horizontal="center"/>
    </xf>
    <xf numFmtId="0" fontId="0" fillId="0" borderId="34" pivotButton="0" quotePrefix="0" xfId="0"/>
    <xf numFmtId="0" fontId="1" fillId="0" borderId="64" applyAlignment="1" pivotButton="0" quotePrefix="0" xfId="0">
      <alignment horizontal="center"/>
    </xf>
    <xf numFmtId="0" fontId="1" fillId="0" borderId="65" applyAlignment="1" pivotButton="0" quotePrefix="0" xfId="0">
      <alignment horizontal="center"/>
    </xf>
    <xf numFmtId="0" fontId="0" fillId="0" borderId="38" pivotButton="0" quotePrefix="0" xfId="0"/>
    <xf numFmtId="43" fontId="1" fillId="0" borderId="43" pivotButton="0" quotePrefix="0" xfId="0"/>
    <xf numFmtId="43" fontId="1" fillId="0" borderId="45" pivotButton="0" quotePrefix="0" xfId="0"/>
    <xf numFmtId="43" fontId="8" fillId="3" borderId="48" pivotButton="0" quotePrefix="0" xfId="0"/>
    <xf numFmtId="164" fontId="1" fillId="0" borderId="12" applyAlignment="1" pivotButton="0" quotePrefix="0" xfId="0">
      <alignment horizontal="center" vertical="center"/>
    </xf>
    <xf numFmtId="0" fontId="10" fillId="2" borderId="59" applyAlignment="1" pivotButton="0" quotePrefix="0" xfId="0">
      <alignment horizontal="center"/>
    </xf>
    <xf numFmtId="0" fontId="0" fillId="0" borderId="58" pivotButton="0" quotePrefix="0" xfId="0"/>
    <xf numFmtId="0" fontId="0" fillId="0" borderId="14" pivotButton="0" quotePrefix="0" xfId="0"/>
    <xf numFmtId="0" fontId="1" fillId="0" borderId="19" applyAlignment="1" pivotButton="0" quotePrefix="0" xfId="0">
      <alignment horizontal="center"/>
    </xf>
    <xf numFmtId="0" fontId="0" fillId="0" borderId="19" pivotButton="0" quotePrefix="0" xfId="0"/>
    <xf numFmtId="0" fontId="1" fillId="0" borderId="3" applyAlignment="1" pivotButton="0" quotePrefix="0" xfId="0">
      <alignment horizontal="left" vertical="top"/>
    </xf>
    <xf numFmtId="0" fontId="1" fillId="0" borderId="3" applyAlignment="1" pivotButton="0" quotePrefix="0" xfId="0">
      <alignment horizontal="left" vertical="top" wrapText="1"/>
    </xf>
    <xf numFmtId="0" fontId="8" fillId="0" borderId="3" applyAlignment="1" pivotButton="0" quotePrefix="0" xfId="0">
      <alignment horizontal="left" vertical="top"/>
    </xf>
    <xf numFmtId="0" fontId="8" fillId="4" borderId="2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4" pivotButton="0" quotePrefix="0" xfId="0"/>
    <xf numFmtId="0" fontId="13" fillId="0" borderId="74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6" pivotButton="0" quotePrefix="0" xfId="0"/>
    <xf numFmtId="0" fontId="13" fillId="0" borderId="75" applyAlignment="1" pivotButton="0" quotePrefix="0" xfId="0">
      <alignment horizontal="left" vertical="top" wrapText="1"/>
    </xf>
    <xf numFmtId="0" fontId="0" fillId="0" borderId="50" pivotButton="0" quotePrefix="0" xfId="0"/>
    <xf numFmtId="0" fontId="0" fillId="0" borderId="51" pivotButton="0" quotePrefix="0" xfId="0"/>
    <xf numFmtId="0" fontId="5" fillId="0" borderId="47" applyAlignment="1" pivotButton="0" quotePrefix="0" xfId="0">
      <alignment horizontal="center" vertical="center" wrapText="1"/>
    </xf>
    <xf numFmtId="0" fontId="1" fillId="0" borderId="29" applyAlignment="1" pivotButton="0" quotePrefix="0" xfId="0">
      <alignment horizontal="center"/>
    </xf>
    <xf numFmtId="0" fontId="1" fillId="0" borderId="53" applyAlignment="1" pivotButton="0" quotePrefix="0" xfId="0">
      <alignment horizontal="center"/>
    </xf>
    <xf numFmtId="0" fontId="0" fillId="0" borderId="53" pivotButton="0" quotePrefix="0" xfId="0"/>
    <xf numFmtId="0" fontId="13" fillId="0" borderId="3" applyAlignment="1" pivotButton="0" quotePrefix="0" xfId="0">
      <alignment horizontal="left" vertical="top" wrapText="1"/>
    </xf>
    <xf numFmtId="0" fontId="0" fillId="0" borderId="21" pivotButton="0" quotePrefix="0" xfId="0"/>
    <xf numFmtId="0" fontId="0" fillId="0" borderId="28" pivotButton="0" quotePrefix="0" xfId="0"/>
    <xf numFmtId="0" fontId="28" fillId="5" borderId="60" pivotButton="0" quotePrefix="0" xfId="0"/>
    <xf numFmtId="0" fontId="29" fillId="5" borderId="61" pivotButton="0" quotePrefix="0" xfId="0"/>
    <xf numFmtId="0" fontId="29" fillId="5" borderId="60" pivotButton="0" quotePrefix="0" xfId="0"/>
    <xf numFmtId="0" fontId="30" fillId="5" borderId="60" applyAlignment="1" pivotButton="0" quotePrefix="0" xfId="0">
      <alignment horizontal="center" vertical="center" wrapText="1"/>
    </xf>
    <xf numFmtId="0" fontId="28" fillId="5" borderId="60" applyAlignment="1" pivotButton="0" quotePrefix="0" xfId="0">
      <alignment horizontal="right" vertical="center" wrapText="1"/>
    </xf>
    <xf numFmtId="0" fontId="28" fillId="5" borderId="76" applyAlignment="1" pivotButton="0" quotePrefix="0" xfId="0">
      <alignment horizontal="center" vertical="center" wrapText="1"/>
    </xf>
    <xf numFmtId="0" fontId="31" fillId="6" borderId="76" applyAlignment="1" pivotButton="0" quotePrefix="0" xfId="0">
      <alignment horizontal="center" vertical="center" wrapText="1"/>
    </xf>
    <xf numFmtId="0" fontId="0" fillId="0" borderId="76" pivotButton="0" quotePrefix="0" xfId="0"/>
    <xf numFmtId="0" fontId="29" fillId="7" borderId="76" applyAlignment="1" pivotButton="0" quotePrefix="0" xfId="0">
      <alignment horizontal="center" vertical="center" wrapText="1"/>
    </xf>
    <xf numFmtId="0" fontId="31" fillId="8" borderId="76" applyAlignment="1" pivotButton="0" quotePrefix="0" xfId="0">
      <alignment horizontal="center" vertical="center" wrapText="1"/>
    </xf>
    <xf numFmtId="0" fontId="32" fillId="9" borderId="76" applyAlignment="1" pivotButton="0" quotePrefix="0" xfId="0">
      <alignment horizontal="left" vertical="center" wrapText="1"/>
    </xf>
    <xf numFmtId="0" fontId="24" fillId="6" borderId="76" pivotButton="0" quotePrefix="0" xfId="0"/>
    <xf numFmtId="0" fontId="24" fillId="7" borderId="76" pivotButton="0" quotePrefix="0" xfId="0"/>
    <xf numFmtId="0" fontId="24" fillId="8" borderId="76" pivotButton="0" quotePrefix="0" xfId="0"/>
    <xf numFmtId="0" fontId="32" fillId="9" borderId="76" applyAlignment="1" pivotButton="0" quotePrefix="0" xfId="0">
      <alignment horizontal="center" vertical="center" wrapText="1"/>
    </xf>
    <xf numFmtId="0" fontId="33" fillId="5" borderId="76" applyAlignment="1" pivotButton="0" quotePrefix="0" xfId="0">
      <alignment horizontal="left" vertical="center" wrapText="1"/>
    </xf>
    <xf numFmtId="0" fontId="24" fillId="5" borderId="76" applyAlignment="1" pivotButton="0" quotePrefix="0" xfId="0">
      <alignment horizontal="center" vertical="center" wrapText="1"/>
    </xf>
    <xf numFmtId="0" fontId="29" fillId="5" borderId="76" applyAlignment="1" pivotButton="0" quotePrefix="0" xfId="0">
      <alignment horizontal="left" vertical="center" wrapText="1"/>
    </xf>
    <xf numFmtId="0" fontId="33" fillId="5" borderId="76" pivotButton="0" quotePrefix="0" xfId="0"/>
    <xf numFmtId="0" fontId="34" fillId="10" borderId="76" applyAlignment="1" pivotButton="0" quotePrefix="0" xfId="0">
      <alignment horizontal="left" vertical="center" wrapText="1"/>
    </xf>
    <xf numFmtId="0" fontId="24" fillId="5" borderId="77" pivotButton="0" quotePrefix="0" xfId="0"/>
    <xf numFmtId="0" fontId="24" fillId="5" borderId="78" pivotButton="0" quotePrefix="0" xfId="0"/>
    <xf numFmtId="0" fontId="24" fillId="5" borderId="79" pivotButton="0" quotePrefix="0" xfId="0"/>
    <xf numFmtId="0" fontId="24" fillId="5" borderId="80" pivotButton="0" quotePrefix="0" xfId="0"/>
    <xf numFmtId="0" fontId="24" fillId="5" borderId="0" pivotButton="0" quotePrefix="0" xfId="0"/>
    <xf numFmtId="0" fontId="24" fillId="5" borderId="81" pivotButton="0" quotePrefix="0" xfId="0"/>
    <xf numFmtId="0" fontId="24" fillId="9" borderId="76" pivotButton="0" quotePrefix="0" xfId="0"/>
    <xf numFmtId="0" fontId="33" fillId="5" borderId="82" applyAlignment="1" pivotButton="0" quotePrefix="0" xfId="0">
      <alignment horizontal="left" vertical="center" wrapText="1"/>
    </xf>
    <xf numFmtId="0" fontId="0" fillId="0" borderId="83" pivotButton="0" quotePrefix="0" xfId="0"/>
    <xf numFmtId="0" fontId="0" fillId="0" borderId="84" pivotButton="0" quotePrefix="0" xfId="0"/>
    <xf numFmtId="0" fontId="24" fillId="5" borderId="82" pivotButton="0" quotePrefix="0" xfId="0"/>
    <xf numFmtId="0" fontId="24" fillId="5" borderId="83" pivotButton="0" quotePrefix="0" xfId="0"/>
    <xf numFmtId="0" fontId="24" fillId="5" borderId="84" pivotButton="0" quotePrefix="0" xfId="0"/>
    <xf numFmtId="0" fontId="35" fillId="5" borderId="60" pivotButton="0" quotePrefix="0" xfId="0"/>
    <xf numFmtId="0" fontId="29" fillId="5" borderId="61" applyAlignment="1" pivotButton="0" quotePrefix="0" xfId="0">
      <alignment horizontal="center"/>
    </xf>
    <xf numFmtId="0" fontId="28" fillId="5" borderId="6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 /><Relationship Type="http://schemas.openxmlformats.org/officeDocument/2006/relationships/image" Target="/xl/media/image6.pn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7.xml.rels><?xml version="1.0" encoding="UTF-8" standalone="yes"?>
<Relationships xmlns="http://schemas.openxmlformats.org/package/2006/relationships">
  <Relationship Id="rId1" Type="http://schemas.openxmlformats.org/officeDocument/2006/relationships/image" Target="../media/car_diagram.png"/>
  <Relationship Id="rId2" Type="http://schemas.openxmlformats.org/officeDocument/2006/relationships/image" Target="../media/image3.png"/>
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19050</colOff>
      <row>1</row>
      <rowOff>28575</rowOff>
    </from>
    <ext cx="1743075" cy="495300"/>
    <pic>
      <nvPicPr>
        <cNvPr id="0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8</col>
      <colOff>304800</colOff>
      <row>73</row>
      <rowOff>142875</rowOff>
    </from>
    <ext cx="866775" cy="333375"/>
    <pic>
      <nvPicPr>
        <cNvPr id="0" name="image5.png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19050</colOff>
      <row>1</row>
      <rowOff>28575</rowOff>
    </from>
    <ext cx="1733550" cy="504825"/>
    <pic>
      <nvPicPr>
        <cNvPr id="0" name="image2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0</col>
      <colOff>28575</colOff>
      <row>1</row>
      <rowOff>28575</rowOff>
    </from>
    <ext cx="1733550" cy="504825"/>
    <pic>
      <nvPicPr>
        <cNvPr id="0" name="image2.png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19050</colOff>
      <row>1</row>
      <rowOff>28575</rowOff>
    </from>
    <ext cx="1733550" cy="504825"/>
    <pic>
      <nvPicPr>
        <cNvPr id="0" name="image2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0</col>
      <colOff>28575</colOff>
      <row>1</row>
      <rowOff>28575</rowOff>
    </from>
    <ext cx="1733550" cy="504825"/>
    <pic>
      <nvPicPr>
        <cNvPr id="0" name="image2.png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19050</colOff>
      <row>1</row>
      <rowOff>28575</rowOff>
    </from>
    <ext cx="1733550" cy="504825"/>
    <pic>
      <nvPicPr>
        <cNvPr id="0" name="image2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0</col>
      <colOff>28575</colOff>
      <row>1</row>
      <rowOff>28575</rowOff>
    </from>
    <ext cx="1733550" cy="504825"/>
    <pic>
      <nvPicPr>
        <cNvPr id="0" name="image2.png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28575</colOff>
      <row>1</row>
      <rowOff>28575</rowOff>
    </from>
    <ext cx="1733550" cy="504825"/>
    <pic>
      <nvPicPr>
        <cNvPr id="0" name="image2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28575</colOff>
      <row>1</row>
      <rowOff>28575</rowOff>
    </from>
    <ext cx="1733550" cy="504825"/>
    <pic>
      <nvPicPr>
        <cNvPr id="0" name="image2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!-- HonTech Top Header Logo Banner -->
  <xdr:oneCellAnchor>
    <xdr:from>
      <xdr:col>3</xdr:col>
      <xdr:colOff>504825</xdr:colOff>
      <xdr:row>0</xdr:row>
      <xdr:rowOff>0</xdr:rowOff>
    </xdr:from>
    <xdr:ext cx="3333750" cy="676275"/>
    <xdr:pic>
      <xdr:nvPicPr>
        <xdr:cNvPr id="1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!-- Car Diagram in External Damage / Wear Inspection Area (F28:K44) -->
  <xdr:oneCellAnchor>
    <xdr:from>
      <xdr:col>5</xdr:col>
      <xdr:colOff>40000</xdr:colOff>
      <xdr:row>27</xdr:row>
      <xdr:rowOff>40000</xdr:rowOff>
    </xdr:from>
    <xdr:ext cx="3000375" cy="2505075"/>
    <xdr:pic>
      <xdr:nvPicPr>
        <xdr:cNvPr id="2" name="car_diagram.png" descr="Vehicle Inspection Schematic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B4E87"/>
      </a:accent1>
      <a:accent2>
        <a:srgbClr val="C04E4E"/>
      </a:accent2>
      <a:accent3>
        <a:srgbClr val="3D8A16"/>
      </a:accent3>
      <a:accent4>
        <a:srgbClr val="7860B4"/>
      </a:accent4>
      <a:accent5>
        <a:srgbClr val="E68422"/>
      </a:accent5>
      <a:accent6>
        <a:srgbClr val="846648"/>
      </a:accent6>
      <a:hlink>
        <a:srgbClr val="4C92AE"/>
      </a:hlink>
      <a:folHlink>
        <a:srgbClr val="4C92AE"/>
      </a:folHlink>
    </a:clrScheme>
    <a:fontScheme name="Sheets">
      <a:majorFont>
        <a:latin typeface="Trebuchet MS"/>
        <a:ea typeface="Trebuchet MS"/>
        <a:cs typeface="Trebuchet MS"/>
      </a:majorFont>
      <a:minorFont>
        <a:latin typeface="Trebuchet MS"/>
        <a:ea typeface="Trebuchet MS"/>
        <a:cs typeface="Trebuchet M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1.14" customWidth="1" style="174" min="1" max="1"/>
    <col width="18.57" customWidth="1" style="174" min="2" max="2"/>
    <col width="14.71" customWidth="1" style="174" min="3" max="3"/>
    <col width="13.71" customWidth="1" style="174" min="4" max="4"/>
    <col width="5.71" customWidth="1" style="174" min="5" max="5"/>
    <col width="11" customWidth="1" style="174" min="6" max="6"/>
    <col width="19.57" customWidth="1" style="174" min="7" max="7"/>
    <col width="14.86" customWidth="1" style="174" min="8" max="8"/>
    <col width="5.71" customWidth="1" style="174" min="9" max="9"/>
    <col width="15.57" customWidth="1" style="174" min="10" max="10"/>
    <col width="14.86" customWidth="1" style="174" min="11" max="11"/>
    <col width="9.140000000000001" customWidth="1" style="174" min="12" max="15"/>
    <col width="9" customWidth="1" style="174" min="16" max="26"/>
  </cols>
  <sheetData>
    <row r="1" ht="12.75" customHeight="1" s="174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" t="inlineStr">
        <is>
          <t>Form 1/3</t>
        </is>
      </c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40.5" customHeight="1" s="174">
      <c r="A2" s="1" t="n"/>
      <c r="B2" s="1" t="n"/>
      <c r="C2" s="1" t="n"/>
      <c r="D2" s="7" t="n"/>
      <c r="E2" s="7" t="n"/>
      <c r="F2" s="7" t="n"/>
      <c r="G2" s="7" t="n"/>
      <c r="H2" s="7" t="n"/>
      <c r="I2" s="1" t="n"/>
      <c r="J2" s="4" t="inlineStr">
        <is>
          <t>JOB ORDER NO.</t>
        </is>
      </c>
      <c r="K2" s="9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9.75" customHeight="1" s="174">
      <c r="A3" s="1" t="n"/>
      <c r="B3" s="6" t="n"/>
      <c r="D3" s="7" t="n"/>
      <c r="E3" s="7" t="n"/>
      <c r="F3" s="7" t="n"/>
      <c r="G3" s="7" t="n"/>
      <c r="H3" s="7" t="n"/>
      <c r="I3" s="1" t="n"/>
      <c r="J3" s="4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" customHeight="1" s="174">
      <c r="A4" s="1" t="n"/>
      <c r="B4" s="14" t="inlineStr">
        <is>
          <t>Hontech Auto Center</t>
        </is>
      </c>
      <c r="C4" s="13" t="n"/>
      <c r="D4" s="13" t="n"/>
      <c r="E4" s="13" t="n"/>
      <c r="F4" s="13" t="n"/>
      <c r="G4" s="13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" customHeight="1" s="174">
      <c r="A5" s="17" t="n"/>
      <c r="B5" s="18" t="inlineStr">
        <is>
          <t>70 Bayan Bayanan Ave cor Narra St.</t>
        </is>
      </c>
      <c r="C5" s="12" t="n"/>
      <c r="D5" s="12" t="n"/>
      <c r="E5" s="12" t="n"/>
      <c r="F5" s="12" t="n"/>
      <c r="G5" s="12" t="n"/>
      <c r="H5" s="17" t="n"/>
      <c r="I5" s="17" t="n"/>
      <c r="J5" s="19" t="inlineStr">
        <is>
          <t>DATE:</t>
        </is>
      </c>
      <c r="K5" s="20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</row>
    <row r="6" ht="15" customHeight="1" s="174">
      <c r="A6" s="1" t="n"/>
      <c r="B6" s="21" t="inlineStr">
        <is>
          <t>Marikina Heights, Marikina City</t>
        </is>
      </c>
      <c r="C6" s="13" t="n"/>
      <c r="D6" s="13" t="n"/>
      <c r="E6" s="13" t="n"/>
      <c r="F6" s="13" t="n"/>
      <c r="G6" s="13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74">
      <c r="A7" s="1" t="n"/>
      <c r="B7" s="21" t="inlineStr">
        <is>
          <t>fb.com/hontechautocenter</t>
        </is>
      </c>
      <c r="C7" s="13" t="n"/>
      <c r="D7" s="13" t="n"/>
      <c r="E7" s="13" t="n"/>
      <c r="F7" s="13" t="n"/>
      <c r="G7" s="13" t="n"/>
      <c r="H7" s="1" t="n"/>
      <c r="I7" s="2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174">
      <c r="A8" s="1" t="n"/>
      <c r="B8" s="17" t="inlineStr">
        <is>
          <t>85644550/ 71219124/  09458757441/ 09525065084- VIBER</t>
        </is>
      </c>
      <c r="C8" s="13" t="n"/>
      <c r="D8" s="13" t="n"/>
      <c r="E8" s="13" t="n"/>
      <c r="F8" s="13" t="n"/>
      <c r="G8" s="13" t="n"/>
      <c r="H8" s="1" t="n"/>
      <c r="I8" s="2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174">
      <c r="A9" s="1" t="n"/>
      <c r="B9" s="175" t="inlineStr">
        <is>
          <t>CUSTOMER DETAILS</t>
        </is>
      </c>
      <c r="C9" s="176" t="n"/>
      <c r="D9" s="176" t="n"/>
      <c r="E9" s="176" t="n"/>
      <c r="F9" s="176" t="n"/>
      <c r="G9" s="176" t="n"/>
      <c r="H9" s="176" t="n"/>
      <c r="I9" s="176" t="n"/>
      <c r="J9" s="176" t="n"/>
      <c r="K9" s="177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174">
      <c r="A10" s="1" t="n"/>
      <c r="B10" s="28" t="inlineStr">
        <is>
          <t>Name                   :</t>
        </is>
      </c>
      <c r="C10" s="30" t="n"/>
      <c r="D10" s="178" t="n"/>
      <c r="E10" s="178" t="n"/>
      <c r="F10" s="178" t="n"/>
      <c r="G10" s="32" t="inlineStr">
        <is>
          <t>Year/Model            :</t>
        </is>
      </c>
      <c r="H10" s="30" t="n"/>
      <c r="I10" s="178" t="n"/>
      <c r="J10" s="32" t="inlineStr">
        <is>
          <t>Plate No          :</t>
        </is>
      </c>
      <c r="K10" s="34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174">
      <c r="A11" s="1" t="n"/>
      <c r="B11" s="37" t="inlineStr">
        <is>
          <t>Address               :</t>
        </is>
      </c>
      <c r="C11" s="30" t="n"/>
      <c r="D11" s="178" t="n"/>
      <c r="E11" s="178" t="n"/>
      <c r="F11" s="178" t="n"/>
      <c r="G11" s="13" t="inlineStr">
        <is>
          <t>KM Reading           :</t>
        </is>
      </c>
      <c r="H11" s="30" t="n"/>
      <c r="I11" s="178" t="n"/>
      <c r="J11" s="13" t="inlineStr">
        <is>
          <t>Intake Date      :</t>
        </is>
      </c>
      <c r="K11" s="38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174">
      <c r="A12" s="1" t="n"/>
      <c r="B12" s="37" t="inlineStr">
        <is>
          <t>Contact No.          :</t>
        </is>
      </c>
      <c r="C12" s="30" t="n"/>
      <c r="D12" s="178" t="n"/>
      <c r="E12" s="178" t="n"/>
      <c r="F12" s="178" t="n"/>
      <c r="G12" s="13" t="inlineStr">
        <is>
          <t>Engine No              :</t>
        </is>
      </c>
      <c r="H12" s="30" t="n"/>
      <c r="I12" s="178" t="n"/>
      <c r="J12" s="13" t="inlineStr">
        <is>
          <t>Promise Date   :</t>
        </is>
      </c>
      <c r="K12" s="40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174">
      <c r="A13" s="1" t="n"/>
      <c r="B13" s="37" t="inlineStr">
        <is>
          <t xml:space="preserve">   E-Mail Add.          :</t>
        </is>
      </c>
      <c r="C13" s="30" t="n"/>
      <c r="D13" s="178" t="n"/>
      <c r="E13" s="178" t="n"/>
      <c r="F13" s="178" t="n"/>
      <c r="G13" s="13" t="inlineStr">
        <is>
          <t>Chassis No.           :</t>
        </is>
      </c>
      <c r="H13" s="30" t="n"/>
      <c r="I13" s="178" t="n"/>
      <c r="J13" s="13" t="inlineStr">
        <is>
          <t xml:space="preserve">   Color               :</t>
        </is>
      </c>
      <c r="K13" s="42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6" customHeight="1" s="174">
      <c r="A14" s="1" t="n"/>
      <c r="B14" s="43" t="n"/>
      <c r="C14" s="44" t="n"/>
      <c r="D14" s="44" t="n"/>
      <c r="E14" s="44" t="n"/>
      <c r="F14" s="44" t="n"/>
      <c r="G14" s="45" t="n"/>
      <c r="H14" s="46" t="n"/>
      <c r="I14" s="47" t="n"/>
      <c r="J14" s="48" t="n"/>
      <c r="K14" s="49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4" customHeight="1" s="174">
      <c r="A15" s="1" t="n"/>
      <c r="B15" s="50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.75" customHeight="1" s="174">
      <c r="A16" s="1" t="n"/>
      <c r="B16" s="180" t="inlineStr">
        <is>
          <t>CUSTOMER'S DESCRIPTION OF REQUESTED SERVICE/CONCERN (To be filled out by Service Advisor)</t>
        </is>
      </c>
      <c r="C16" s="178" t="n"/>
      <c r="D16" s="178" t="n"/>
      <c r="E16" s="178" t="n"/>
      <c r="F16" s="178" t="n"/>
      <c r="G16" s="178" t="n"/>
      <c r="H16" s="178" t="n"/>
      <c r="I16" s="178" t="n"/>
      <c r="J16" s="178" t="n"/>
      <c r="K16" s="181" t="n"/>
      <c r="L16" s="1" t="n"/>
      <c r="M16" s="1" t="n"/>
      <c r="N16" s="1" t="n"/>
      <c r="O16" s="182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87.75" customHeight="1" s="174">
      <c r="A17" s="59" t="n"/>
      <c r="B17" s="183" t="n"/>
      <c r="C17" s="184" t="n"/>
      <c r="D17" s="184" t="n"/>
      <c r="E17" s="184" t="n"/>
      <c r="F17" s="184" t="n"/>
      <c r="G17" s="184" t="n"/>
      <c r="H17" s="184" t="n"/>
      <c r="I17" s="184" t="n"/>
      <c r="J17" s="184" t="n"/>
      <c r="K17" s="185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59" t="n"/>
      <c r="U17" s="59" t="n"/>
      <c r="V17" s="59" t="n"/>
      <c r="W17" s="59" t="n"/>
      <c r="X17" s="59" t="n"/>
      <c r="Y17" s="59" t="n"/>
      <c r="Z17" s="59" t="n"/>
    </row>
    <row r="18" ht="30" customHeight="1" s="174">
      <c r="A18" s="1" t="n"/>
      <c r="B18" s="66" t="inlineStr">
        <is>
          <t>NOTE: To avail of the warranty given for material, parts, and service, owner supplied is discouraged, otherwise a surcharge of 25% of the price of item is automatically applied. The cost of the item/s shall be the current price of Hontech Auto Center, Inc.</t>
        </is>
      </c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1" customHeight="1" s="174">
      <c r="A19" s="1" t="n"/>
      <c r="B19" s="67" t="inlineStr">
        <is>
          <t>Interviewed by:</t>
        </is>
      </c>
      <c r="C19" s="68" t="n"/>
      <c r="D19" s="184" t="n"/>
      <c r="E19" s="69" t="n"/>
      <c r="F19" s="69" t="n"/>
      <c r="G19" s="69" t="n"/>
      <c r="H19" s="13" t="n"/>
      <c r="I19" s="2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174">
      <c r="A20" s="1" t="n"/>
      <c r="B20" s="1" t="n"/>
      <c r="C20" s="70" t="inlineStr">
        <is>
          <t>Service Advisor</t>
        </is>
      </c>
      <c r="E20" s="71" t="n"/>
      <c r="F20" s="71" t="n"/>
      <c r="G20" s="7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174">
      <c r="A21" s="1" t="n"/>
      <c r="B21" s="73" t="inlineStr">
        <is>
          <t>AUTHORIZATION</t>
        </is>
      </c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74">
      <c r="A22" s="1" t="n"/>
      <c r="B22" s="74" t="inlineStr">
        <is>
          <t>I hereby authorize you and your assigned employees to operate the vehicle for purposes of testing, inspection, pick-up or delivery.</t>
        </is>
      </c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74">
      <c r="A23" s="1" t="n"/>
      <c r="B23" s="1" t="n"/>
      <c r="C23" s="1" t="n"/>
      <c r="D23" s="76">
        <f>C10</f>
        <v/>
      </c>
      <c r="E23" s="184" t="n"/>
      <c r="F23" s="184" t="n"/>
      <c r="G23" s="184" t="n"/>
      <c r="H23" s="184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4.75" customHeight="1" s="174">
      <c r="A24" s="1" t="n"/>
      <c r="B24" s="1" t="n"/>
      <c r="C24" s="71" t="n"/>
      <c r="D24" s="77" t="inlineStr">
        <is>
          <t>Customer Name and Signature</t>
        </is>
      </c>
      <c r="E24" s="186" t="n"/>
      <c r="F24" s="186" t="n"/>
      <c r="G24" s="186" t="n"/>
      <c r="H24" s="186" t="n"/>
      <c r="I24" s="71" t="n"/>
      <c r="J24" s="71" t="n"/>
      <c r="K24" s="7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74">
      <c r="A25" s="1" t="n"/>
      <c r="B25" s="187" t="inlineStr">
        <is>
          <t>DIAGNOSTIC RESULT</t>
        </is>
      </c>
      <c r="C25" s="188" t="n"/>
      <c r="D25" s="189" t="inlineStr">
        <is>
          <t>PARTS</t>
        </is>
      </c>
      <c r="E25" s="176" t="n"/>
      <c r="F25" s="176" t="n"/>
      <c r="G25" s="190" t="n"/>
      <c r="H25" s="191" t="inlineStr">
        <is>
          <t>MATERIALS</t>
        </is>
      </c>
      <c r="I25" s="176" t="n"/>
      <c r="J25" s="176" t="n"/>
      <c r="K25" s="177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2.5" customHeight="1" s="174">
      <c r="A26" s="83" t="n"/>
      <c r="B26" s="192" t="n"/>
      <c r="C26" s="185" t="n"/>
      <c r="D26" s="85" t="inlineStr">
        <is>
          <t>DESCRIPTION</t>
        </is>
      </c>
      <c r="E26" s="86" t="inlineStr">
        <is>
          <t>QTY</t>
        </is>
      </c>
      <c r="F26" s="86" t="inlineStr">
        <is>
          <t>UNIT PRICE</t>
        </is>
      </c>
      <c r="G26" s="86" t="inlineStr">
        <is>
          <t>AMOUNT</t>
        </is>
      </c>
      <c r="H26" s="85" t="inlineStr">
        <is>
          <t>DESCRIPTION</t>
        </is>
      </c>
      <c r="I26" s="86" t="inlineStr">
        <is>
          <t>QTY</t>
        </is>
      </c>
      <c r="J26" s="86" t="inlineStr">
        <is>
          <t>UNIT PRICE</t>
        </is>
      </c>
      <c r="K26" s="87" t="inlineStr">
        <is>
          <t>AMOUNT</t>
        </is>
      </c>
      <c r="L26" s="83" t="n"/>
      <c r="M26" s="83" t="n"/>
      <c r="N26" s="83" t="n"/>
      <c r="O26" s="83" t="n"/>
      <c r="P26" s="83" t="n"/>
      <c r="Q26" s="83" t="n"/>
      <c r="R26" s="83" t="n"/>
      <c r="S26" s="83" t="n"/>
      <c r="T26" s="83" t="n"/>
      <c r="U26" s="83" t="n"/>
      <c r="V26" s="83" t="n"/>
      <c r="W26" s="83" t="n"/>
      <c r="X26" s="83" t="n"/>
      <c r="Y26" s="83" t="n"/>
      <c r="Z26" s="83" t="n"/>
    </row>
    <row r="27" ht="12.75" customHeight="1" s="174">
      <c r="A27" s="1" t="n"/>
      <c r="B27" s="193" t="n"/>
      <c r="C27" s="181" t="n"/>
      <c r="D27" s="89" t="n"/>
      <c r="E27" s="63" t="n"/>
      <c r="F27" s="65" t="n"/>
      <c r="G27" s="90">
        <f>E27*F27</f>
        <v/>
      </c>
      <c r="H27" s="89" t="n"/>
      <c r="I27" s="63" t="n"/>
      <c r="J27" s="65" t="n"/>
      <c r="K27" s="91">
        <f>I27*J27</f>
        <v/>
      </c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174">
      <c r="A28" s="1" t="n"/>
      <c r="B28" s="193" t="n"/>
      <c r="C28" s="181" t="n"/>
      <c r="D28" s="89" t="n"/>
      <c r="E28" s="63" t="n"/>
      <c r="F28" s="65" t="n"/>
      <c r="G28" s="90">
        <f>E28*F28</f>
        <v/>
      </c>
      <c r="H28" s="89" t="n"/>
      <c r="I28" s="63" t="n"/>
      <c r="J28" s="65" t="n"/>
      <c r="K28" s="91">
        <f>I28*J28</f>
        <v/>
      </c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174">
      <c r="A29" s="1" t="n"/>
      <c r="B29" s="193" t="n"/>
      <c r="C29" s="181" t="n"/>
      <c r="D29" s="89" t="n"/>
      <c r="E29" s="89" t="n"/>
      <c r="F29" s="90" t="n"/>
      <c r="G29" s="90">
        <f>E29*F29</f>
        <v/>
      </c>
      <c r="H29" s="89" t="n"/>
      <c r="I29" s="63" t="n"/>
      <c r="J29" s="65" t="n"/>
      <c r="K29" s="91">
        <f>I29*J29</f>
        <v/>
      </c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174">
      <c r="A30" s="1" t="n"/>
      <c r="B30" s="193" t="n"/>
      <c r="C30" s="181" t="n"/>
      <c r="D30" s="89" t="n"/>
      <c r="E30" s="89" t="n"/>
      <c r="F30" s="90" t="n"/>
      <c r="G30" s="90">
        <f>E30*F30</f>
        <v/>
      </c>
      <c r="H30" s="89" t="n"/>
      <c r="I30" s="63" t="n"/>
      <c r="J30" s="65" t="n"/>
      <c r="K30" s="91">
        <f>I30*J30</f>
        <v/>
      </c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174">
      <c r="A31" s="1" t="n"/>
      <c r="B31" s="193" t="n"/>
      <c r="C31" s="181" t="n"/>
      <c r="D31" s="89" t="n"/>
      <c r="E31" s="89" t="n"/>
      <c r="F31" s="90" t="n"/>
      <c r="G31" s="90">
        <f>E31*F31</f>
        <v/>
      </c>
      <c r="H31" s="89" t="n"/>
      <c r="I31" s="63" t="n"/>
      <c r="J31" s="65" t="n"/>
      <c r="K31" s="91">
        <f>I31*J31</f>
        <v/>
      </c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174">
      <c r="A32" s="1" t="n"/>
      <c r="B32" s="193" t="n"/>
      <c r="C32" s="181" t="n"/>
      <c r="D32" s="89" t="n"/>
      <c r="E32" s="89" t="n"/>
      <c r="F32" s="90" t="n"/>
      <c r="G32" s="90">
        <f>E32*F32</f>
        <v/>
      </c>
      <c r="H32" s="89" t="n"/>
      <c r="I32" s="63" t="n"/>
      <c r="J32" s="65" t="n"/>
      <c r="K32" s="91">
        <f>I32*J32</f>
        <v/>
      </c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174">
      <c r="A33" s="1" t="n"/>
      <c r="B33" s="193" t="n"/>
      <c r="C33" s="181" t="n"/>
      <c r="D33" s="89" t="n"/>
      <c r="E33" s="89" t="n"/>
      <c r="F33" s="90" t="n"/>
      <c r="G33" s="90">
        <f>E33*F33</f>
        <v/>
      </c>
      <c r="H33" s="89" t="n"/>
      <c r="I33" s="63" t="n"/>
      <c r="J33" s="65" t="n"/>
      <c r="K33" s="91">
        <f>I33*J33</f>
        <v/>
      </c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174">
      <c r="A34" s="1" t="n"/>
      <c r="B34" s="193" t="n"/>
      <c r="C34" s="181" t="n"/>
      <c r="D34" s="89" t="n"/>
      <c r="E34" s="89" t="n"/>
      <c r="F34" s="90" t="n"/>
      <c r="G34" s="90">
        <f>E34*F34</f>
        <v/>
      </c>
      <c r="H34" s="89" t="n"/>
      <c r="I34" s="63" t="n"/>
      <c r="J34" s="65" t="n"/>
      <c r="K34" s="91">
        <f>I34*J34</f>
        <v/>
      </c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174">
      <c r="A35" s="1" t="n"/>
      <c r="B35" s="193" t="n"/>
      <c r="C35" s="181" t="n"/>
      <c r="D35" s="89" t="n"/>
      <c r="E35" s="89" t="n"/>
      <c r="F35" s="90" t="n"/>
      <c r="G35" s="90">
        <f>E35*F35</f>
        <v/>
      </c>
      <c r="H35" s="89" t="n"/>
      <c r="I35" s="63" t="n"/>
      <c r="J35" s="65" t="n"/>
      <c r="K35" s="91">
        <f>I35*J35</f>
        <v/>
      </c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174">
      <c r="A36" s="1" t="n"/>
      <c r="B36" s="193" t="n"/>
      <c r="C36" s="181" t="n"/>
      <c r="D36" s="89" t="n"/>
      <c r="E36" s="89" t="n"/>
      <c r="F36" s="90" t="n"/>
      <c r="G36" s="90">
        <f>E36*F36</f>
        <v/>
      </c>
      <c r="H36" s="89" t="n"/>
      <c r="I36" s="63" t="n"/>
      <c r="J36" s="65" t="n"/>
      <c r="K36" s="91">
        <f>I36*J36</f>
        <v/>
      </c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174">
      <c r="A37" s="1" t="n"/>
      <c r="B37" s="193" t="n"/>
      <c r="C37" s="181" t="n"/>
      <c r="D37" s="89" t="n"/>
      <c r="E37" s="89" t="n"/>
      <c r="F37" s="90" t="n"/>
      <c r="G37" s="90">
        <f>E37*F37</f>
        <v/>
      </c>
      <c r="H37" s="89" t="n"/>
      <c r="I37" s="63" t="n"/>
      <c r="J37" s="65" t="n"/>
      <c r="K37" s="91">
        <f>I37*J37</f>
        <v/>
      </c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174">
      <c r="A38" s="1" t="n"/>
      <c r="B38" s="193" t="n"/>
      <c r="C38" s="181" t="n"/>
      <c r="D38" s="89" t="n"/>
      <c r="E38" s="89" t="n"/>
      <c r="F38" s="90" t="n"/>
      <c r="G38" s="90">
        <f>E38*F38</f>
        <v/>
      </c>
      <c r="H38" s="89" t="n"/>
      <c r="I38" s="63" t="n"/>
      <c r="J38" s="65" t="n"/>
      <c r="K38" s="91">
        <f>I38*J38</f>
        <v/>
      </c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174">
      <c r="A39" s="1" t="n"/>
      <c r="B39" s="193" t="n"/>
      <c r="C39" s="181" t="n"/>
      <c r="D39" s="89" t="n"/>
      <c r="E39" s="89" t="n"/>
      <c r="F39" s="90" t="n"/>
      <c r="G39" s="90">
        <f>E39*F39</f>
        <v/>
      </c>
      <c r="H39" s="89" t="n"/>
      <c r="I39" s="63" t="n"/>
      <c r="J39" s="65" t="n"/>
      <c r="K39" s="91">
        <f>I39*J39</f>
        <v/>
      </c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174">
      <c r="A40" s="1" t="n"/>
      <c r="B40" s="193" t="n"/>
      <c r="C40" s="181" t="n"/>
      <c r="D40" s="89" t="n"/>
      <c r="E40" s="89" t="n"/>
      <c r="F40" s="90" t="n"/>
      <c r="G40" s="90">
        <f>E40*F40</f>
        <v/>
      </c>
      <c r="H40" s="89" t="n"/>
      <c r="I40" s="63" t="n"/>
      <c r="J40" s="65" t="n"/>
      <c r="K40" s="91">
        <f>I40*J40</f>
        <v/>
      </c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174">
      <c r="A41" s="1" t="n"/>
      <c r="B41" s="193" t="n"/>
      <c r="C41" s="181" t="n"/>
      <c r="D41" s="89" t="n"/>
      <c r="E41" s="89" t="n"/>
      <c r="F41" s="90" t="n"/>
      <c r="G41" s="90">
        <f>E41*F41</f>
        <v/>
      </c>
      <c r="H41" s="89" t="n"/>
      <c r="I41" s="63" t="n"/>
      <c r="J41" s="65" t="n"/>
      <c r="K41" s="91">
        <f>I41*J41</f>
        <v/>
      </c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174">
      <c r="A42" s="1" t="n"/>
      <c r="B42" s="193" t="n"/>
      <c r="C42" s="181" t="n"/>
      <c r="D42" s="89" t="n"/>
      <c r="E42" s="89" t="n"/>
      <c r="F42" s="90" t="n"/>
      <c r="G42" s="90">
        <f>E42*F42</f>
        <v/>
      </c>
      <c r="H42" s="89" t="n"/>
      <c r="I42" s="63" t="n"/>
      <c r="J42" s="65" t="n"/>
      <c r="K42" s="91">
        <f>I42*J42</f>
        <v/>
      </c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74">
      <c r="A43" s="1" t="n"/>
      <c r="B43" s="193" t="n"/>
      <c r="C43" s="181" t="n"/>
      <c r="D43" s="89" t="n"/>
      <c r="E43" s="89" t="n"/>
      <c r="F43" s="90" t="n"/>
      <c r="G43" s="90">
        <f>E43*F43</f>
        <v/>
      </c>
      <c r="H43" s="89" t="n"/>
      <c r="I43" s="63" t="n"/>
      <c r="J43" s="65" t="n"/>
      <c r="K43" s="91">
        <f>I43*J43</f>
        <v/>
      </c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174">
      <c r="A44" s="1" t="n"/>
      <c r="B44" s="193" t="n"/>
      <c r="C44" s="181" t="n"/>
      <c r="D44" s="89" t="n"/>
      <c r="E44" s="89" t="n"/>
      <c r="F44" s="90" t="n"/>
      <c r="G44" s="90">
        <f>E44*F44</f>
        <v/>
      </c>
      <c r="H44" s="89" t="n"/>
      <c r="I44" s="63" t="n"/>
      <c r="J44" s="65" t="n"/>
      <c r="K44" s="91">
        <f>I44*J44</f>
        <v/>
      </c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174">
      <c r="A45" s="1" t="n"/>
      <c r="B45" s="193" t="n"/>
      <c r="C45" s="181" t="n"/>
      <c r="D45" s="89" t="n"/>
      <c r="E45" s="89" t="n"/>
      <c r="F45" s="90" t="n"/>
      <c r="G45" s="90">
        <f>E45*F45</f>
        <v/>
      </c>
      <c r="H45" s="89" t="n"/>
      <c r="I45" s="63" t="n"/>
      <c r="J45" s="65" t="n"/>
      <c r="K45" s="91">
        <f>I45*J45</f>
        <v/>
      </c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174">
      <c r="A46" s="1" t="n"/>
      <c r="B46" s="193" t="n"/>
      <c r="C46" s="181" t="n"/>
      <c r="D46" s="89" t="n"/>
      <c r="E46" s="89" t="n"/>
      <c r="F46" s="90" t="n"/>
      <c r="G46" s="90">
        <f>E46*F46</f>
        <v/>
      </c>
      <c r="H46" s="89" t="n"/>
      <c r="I46" s="63" t="n"/>
      <c r="J46" s="65" t="n"/>
      <c r="K46" s="91">
        <f>I46*J46</f>
        <v/>
      </c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174">
      <c r="A47" s="1" t="n"/>
      <c r="B47" s="193" t="n"/>
      <c r="C47" s="181" t="n"/>
      <c r="D47" s="89" t="n"/>
      <c r="E47" s="89" t="n"/>
      <c r="F47" s="90" t="n"/>
      <c r="G47" s="90">
        <f>E47*F47</f>
        <v/>
      </c>
      <c r="H47" s="89" t="n"/>
      <c r="I47" s="63" t="n"/>
      <c r="J47" s="65" t="n"/>
      <c r="K47" s="91">
        <f>I47*J47</f>
        <v/>
      </c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174">
      <c r="A48" s="1" t="n"/>
      <c r="B48" s="193" t="n"/>
      <c r="C48" s="181" t="n"/>
      <c r="D48" s="89" t="n"/>
      <c r="E48" s="89" t="n"/>
      <c r="F48" s="90" t="n"/>
      <c r="G48" s="90">
        <f>E48*F48</f>
        <v/>
      </c>
      <c r="H48" s="89" t="n"/>
      <c r="I48" s="63" t="n"/>
      <c r="J48" s="65" t="n"/>
      <c r="K48" s="91">
        <f>I48*J48</f>
        <v/>
      </c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174">
      <c r="A49" s="1" t="n"/>
      <c r="B49" s="194" t="n"/>
      <c r="C49" s="195" t="n"/>
      <c r="D49" s="99" t="n"/>
      <c r="E49" s="99" t="n"/>
      <c r="F49" s="100" t="n"/>
      <c r="G49" s="100">
        <f>E49*F49</f>
        <v/>
      </c>
      <c r="H49" s="99" t="n"/>
      <c r="I49" s="101" t="n"/>
      <c r="J49" s="102" t="n"/>
      <c r="K49" s="103">
        <f>I49*J49</f>
        <v/>
      </c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74">
      <c r="A50" s="1" t="n"/>
      <c r="B50" s="1" t="n"/>
      <c r="C50" s="1" t="n"/>
      <c r="D50" s="1" t="n"/>
      <c r="E50" s="1" t="n"/>
      <c r="F50" s="17" t="inlineStr">
        <is>
          <t>PARTS:</t>
        </is>
      </c>
      <c r="G50" s="196">
        <f>SUM(G27:G49)</f>
        <v/>
      </c>
      <c r="H50" s="108" t="n"/>
      <c r="I50" s="1" t="n"/>
      <c r="J50" s="1" t="inlineStr">
        <is>
          <t>MATERIALS:</t>
        </is>
      </c>
      <c r="K50" s="197">
        <f>SUM(K27:K49)</f>
        <v/>
      </c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174">
      <c r="A51" s="1" t="n"/>
      <c r="B51" s="1" t="n"/>
      <c r="C51" s="1" t="n"/>
      <c r="D51" s="108" t="n"/>
      <c r="E51" s="108" t="n"/>
      <c r="F51" s="108" t="n"/>
      <c r="G51" s="108" t="n"/>
      <c r="H51" s="108" t="n"/>
      <c r="I51" s="1" t="n"/>
      <c r="J51" s="95" t="inlineStr">
        <is>
          <t>TOTAL</t>
        </is>
      </c>
      <c r="K51" s="198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174">
      <c r="A52" s="1" t="n"/>
      <c r="B52" s="1" t="n"/>
      <c r="C52" s="1" t="n"/>
      <c r="D52" s="108" t="n"/>
      <c r="E52" s="108" t="n"/>
      <c r="F52" s="108" t="n"/>
      <c r="G52" s="108" t="n"/>
      <c r="H52" s="108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6.5" customHeight="1" s="174">
      <c r="A53" s="1" t="n"/>
      <c r="B53" s="83" t="inlineStr">
        <is>
          <t>Diagnosed by:</t>
        </is>
      </c>
      <c r="C53" s="76" t="n"/>
      <c r="D53" s="184" t="n"/>
      <c r="E53" s="1" t="n"/>
      <c r="F53" s="1" t="n"/>
      <c r="G53" s="1" t="n"/>
      <c r="H53" s="83" t="inlineStr">
        <is>
          <t>Assessed by:</t>
        </is>
      </c>
      <c r="I53" s="76" t="n"/>
      <c r="J53" s="184" t="n"/>
      <c r="K53" s="184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22.5" customHeight="1" s="174">
      <c r="A54" s="1" t="n"/>
      <c r="B54" s="108" t="n"/>
      <c r="C54" s="118" t="inlineStr">
        <is>
          <t>Auto Mechanic</t>
        </is>
      </c>
      <c r="E54" s="108" t="n"/>
      <c r="F54" s="108" t="n"/>
      <c r="G54" s="108" t="n"/>
      <c r="H54" s="108" t="n"/>
      <c r="I54" s="120" t="inlineStr">
        <is>
          <t>Parts/Materials Controller</t>
        </is>
      </c>
      <c r="J54" s="186" t="n"/>
      <c r="K54" s="186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24" customHeight="1" s="174">
      <c r="A55" s="1" t="n"/>
      <c r="B55" s="123" t="inlineStr">
        <is>
          <t>CERTIFICATE OF COMPLETION/ACCEPTANCE</t>
        </is>
      </c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26.25" customHeight="1" s="174">
      <c r="A56" s="1" t="n"/>
      <c r="B56" s="125" t="inlineStr">
        <is>
          <t>This is to certify that the aforementioned vehicle was thoroughly inspected/checked/examined and was done in accordance with the agreed recommendation/discussions and satisfaction of the customer</t>
        </is>
      </c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21" customHeight="1" s="174">
      <c r="A57" s="127" t="n"/>
      <c r="B57" s="127" t="n"/>
      <c r="C57" s="95" t="inlineStr">
        <is>
          <t>Recommending Approval:</t>
        </is>
      </c>
      <c r="D57" s="127" t="n"/>
      <c r="E57" s="127" t="n"/>
      <c r="F57" s="127" t="n"/>
      <c r="G57" s="127" t="n"/>
      <c r="H57" s="95" t="inlineStr">
        <is>
          <t>Approved by:</t>
        </is>
      </c>
      <c r="I57" s="127" t="n"/>
      <c r="J57" s="127" t="n"/>
      <c r="K57" s="127" t="n"/>
      <c r="L57" s="127" t="n"/>
      <c r="M57" s="127" t="n"/>
      <c r="N57" s="127" t="n"/>
      <c r="O57" s="127" t="n"/>
      <c r="P57" s="127" t="n"/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</row>
    <row r="58" ht="22.5" customHeight="1" s="174">
      <c r="A58" s="127" t="n"/>
      <c r="B58" s="127" t="n"/>
      <c r="C58" s="130" t="n"/>
      <c r="D58" s="184" t="n"/>
      <c r="E58" s="127" t="n"/>
      <c r="F58" s="127" t="n"/>
      <c r="G58" s="127" t="n"/>
      <c r="H58" s="130" t="n"/>
      <c r="I58" s="184" t="n"/>
      <c r="J58" s="184" t="n"/>
      <c r="K58" s="127" t="n"/>
      <c r="L58" s="127" t="n"/>
      <c r="M58" s="127" t="n"/>
      <c r="N58" s="127" t="n"/>
      <c r="O58" s="127" t="n"/>
      <c r="P58" s="127" t="n"/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</row>
    <row r="59" ht="21.75" customHeight="1" s="174">
      <c r="A59" s="127" t="n"/>
      <c r="B59" s="127" t="n"/>
      <c r="C59" s="133" t="inlineStr">
        <is>
          <t>Service Advisor</t>
        </is>
      </c>
      <c r="D59" s="186" t="n"/>
      <c r="E59" s="127" t="n"/>
      <c r="F59" s="127" t="n"/>
      <c r="G59" s="127" t="n"/>
      <c r="H59" s="133" t="inlineStr">
        <is>
          <t>Chief, Auto Mechanic / Authorized AM</t>
        </is>
      </c>
      <c r="I59" s="186" t="n"/>
      <c r="J59" s="186" t="n"/>
      <c r="K59" s="127" t="n"/>
      <c r="L59" s="127" t="n"/>
      <c r="M59" s="127" t="n"/>
      <c r="N59" s="127" t="n"/>
      <c r="O59" s="127" t="n"/>
      <c r="P59" s="127" t="n"/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</row>
    <row r="60" ht="12" customHeight="1" s="174">
      <c r="A60" s="127" t="n"/>
      <c r="B60" s="127" t="n"/>
      <c r="C60" s="95" t="inlineStr">
        <is>
          <t>CONFORME:</t>
        </is>
      </c>
      <c r="D60" s="95" t="n"/>
      <c r="E60" s="127" t="n"/>
      <c r="F60" s="127" t="n"/>
      <c r="G60" s="127" t="n"/>
      <c r="H60" s="95" t="inlineStr">
        <is>
          <t>Concurred by:</t>
        </is>
      </c>
      <c r="I60" s="95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</row>
    <row r="61" ht="24.75" customHeight="1" s="174">
      <c r="A61" s="127" t="n"/>
      <c r="B61" s="127" t="n"/>
      <c r="C61" s="130">
        <f>C10</f>
        <v/>
      </c>
      <c r="D61" s="184" t="n"/>
      <c r="E61" s="127" t="n"/>
      <c r="F61" s="127" t="n"/>
      <c r="G61" s="127" t="n"/>
      <c r="H61" s="137" t="n"/>
      <c r="I61" s="184" t="n"/>
      <c r="J61" s="184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</row>
    <row r="62" ht="38.25" customHeight="1" s="174">
      <c r="A62" s="127" t="n"/>
      <c r="B62" s="127" t="n"/>
      <c r="C62" s="133" t="inlineStr">
        <is>
          <t>Customer's Name &amp; Signature</t>
        </is>
      </c>
      <c r="D62" s="186" t="n"/>
      <c r="E62" s="127" t="n"/>
      <c r="F62" s="127" t="n"/>
      <c r="G62" s="127" t="n"/>
      <c r="H62" s="133" t="inlineStr">
        <is>
          <t>General Manager</t>
        </is>
      </c>
      <c r="I62" s="186" t="n"/>
      <c r="J62" s="186" t="n"/>
      <c r="K62" s="127" t="n"/>
      <c r="L62" s="127" t="n"/>
      <c r="M62" s="127" t="n"/>
      <c r="N62" s="127" t="n"/>
      <c r="O62" s="127" t="n"/>
      <c r="P62" s="127" t="n"/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</row>
    <row r="63" ht="10.5" customHeight="1" s="174">
      <c r="A63" s="127" t="n"/>
      <c r="B63" s="138" t="n"/>
      <c r="C63" s="139" t="n"/>
      <c r="D63" s="139" t="n"/>
      <c r="E63" s="138" t="n"/>
      <c r="F63" s="138" t="n"/>
      <c r="G63" s="138" t="n"/>
      <c r="H63" s="139" t="n"/>
      <c r="I63" s="139" t="n"/>
      <c r="J63" s="139" t="n"/>
      <c r="K63" s="138" t="n"/>
      <c r="L63" s="127" t="n"/>
      <c r="M63" s="127" t="n"/>
      <c r="N63" s="127" t="n"/>
      <c r="O63" s="127" t="n"/>
      <c r="P63" s="127" t="n"/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</row>
    <row r="64" ht="15" customHeight="1" s="174">
      <c r="A64" s="127" t="n"/>
      <c r="B64" s="140" t="inlineStr">
        <is>
          <t>Mahal Naming Mga Kustomer,</t>
        </is>
      </c>
      <c r="C64" s="141" t="n"/>
      <c r="D64" s="141" t="n"/>
      <c r="E64" s="127" t="n"/>
      <c r="F64" s="127" t="n"/>
      <c r="G64" s="127" t="n"/>
      <c r="H64" s="141" t="n"/>
      <c r="I64" s="141" t="n"/>
      <c r="J64" s="141" t="n"/>
      <c r="K64" s="127" t="n"/>
      <c r="L64" s="127" t="n"/>
      <c r="M64" s="127" t="n"/>
      <c r="N64" s="127" t="n"/>
      <c r="O64" s="127" t="n"/>
      <c r="P64" s="127" t="n"/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</row>
    <row r="65" ht="12" customHeight="1" s="174">
      <c r="A65" s="127" t="n"/>
      <c r="B65" s="140" t="inlineStr">
        <is>
          <t xml:space="preserve">    Para sa inyong seguridad at kapakinabangan ng lahat, pinapayuhan po namin kayong kuni ang lahat ng mahahalagang gamit mula</t>
        </is>
      </c>
      <c r="C65" s="141" t="n"/>
      <c r="D65" s="141" t="n"/>
      <c r="E65" s="127" t="n"/>
      <c r="F65" s="127" t="n"/>
      <c r="G65" s="127" t="n"/>
      <c r="H65" s="141" t="n"/>
      <c r="I65" s="141" t="n"/>
      <c r="J65" s="141" t="n"/>
      <c r="K65" s="127" t="n"/>
      <c r="L65" s="127" t="n"/>
      <c r="M65" s="127" t="n"/>
      <c r="N65" s="127" t="n"/>
      <c r="O65" s="127" t="n"/>
      <c r="P65" s="127" t="n"/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</row>
    <row r="66" ht="12" customHeight="1" s="174">
      <c r="A66" s="127" t="n"/>
      <c r="B66" s="140" t="inlineStr">
        <is>
          <t>sa inyong sasakyan bago ito ipagkatiwala sa aming mga kawani. Malaki po ang maitutulong ng inyong kooperasyon upang masiguro</t>
        </is>
      </c>
      <c r="C66" s="141" t="n"/>
      <c r="D66" s="141" t="n"/>
      <c r="E66" s="127" t="n"/>
      <c r="F66" s="127" t="n"/>
      <c r="G66" s="127" t="n"/>
      <c r="H66" s="141" t="n"/>
      <c r="I66" s="141" t="n"/>
      <c r="J66" s="141" t="n"/>
      <c r="K66" s="127" t="n"/>
      <c r="L66" s="127" t="n"/>
      <c r="M66" s="127" t="n"/>
      <c r="N66" s="127" t="n"/>
      <c r="O66" s="127" t="n"/>
      <c r="P66" s="127" t="n"/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</row>
    <row r="67" ht="12" customHeight="1" s="174">
      <c r="A67" s="127" t="n"/>
      <c r="B67" s="140" t="inlineStr">
        <is>
          <t>namin ang mahusay na serbisyo.</t>
        </is>
      </c>
      <c r="C67" s="141" t="n"/>
      <c r="D67" s="141" t="n"/>
      <c r="E67" s="127" t="n"/>
      <c r="F67" s="127" t="n"/>
      <c r="G67" s="127" t="n"/>
      <c r="H67" s="141" t="n"/>
      <c r="I67" s="141" t="n"/>
      <c r="J67" s="141" t="n"/>
      <c r="K67" s="127" t="n"/>
      <c r="L67" s="127" t="n"/>
      <c r="M67" s="127" t="n"/>
      <c r="N67" s="127" t="n"/>
      <c r="O67" s="127" t="n"/>
      <c r="P67" s="127" t="n"/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</row>
    <row r="68" ht="12" customHeight="1" s="174">
      <c r="A68" s="127" t="n"/>
      <c r="B68" s="140" t="inlineStr">
        <is>
          <t xml:space="preserve">    Maraming salamat po sa inyong patuloy na suporta.</t>
        </is>
      </c>
      <c r="C68" s="141" t="n"/>
      <c r="D68" s="141" t="n"/>
      <c r="E68" s="127" t="n"/>
      <c r="F68" s="127" t="n"/>
      <c r="G68" s="127" t="n"/>
      <c r="H68" s="141" t="n"/>
      <c r="I68" s="141" t="n"/>
      <c r="J68" s="141" t="n"/>
      <c r="K68" s="127" t="n"/>
      <c r="L68" s="127" t="n"/>
      <c r="M68" s="127" t="n"/>
      <c r="N68" s="127" t="n"/>
      <c r="O68" s="127" t="n"/>
      <c r="P68" s="127" t="n"/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</row>
    <row r="69" ht="12" customHeight="1" s="174">
      <c r="A69" s="127" t="n"/>
      <c r="B69" s="140" t="inlineStr">
        <is>
          <t xml:space="preserve">    Ang Pamunuan</t>
        </is>
      </c>
      <c r="C69" s="141" t="n"/>
      <c r="D69" s="141" t="n"/>
      <c r="E69" s="127" t="n"/>
      <c r="F69" s="127" t="n"/>
      <c r="G69" s="127" t="n"/>
      <c r="H69" s="141" t="n"/>
      <c r="I69" s="141" t="n"/>
      <c r="J69" s="141" t="n"/>
      <c r="K69" s="127" t="n"/>
      <c r="L69" s="127" t="n"/>
      <c r="M69" s="127" t="n"/>
      <c r="N69" s="127" t="n"/>
      <c r="O69" s="127" t="n"/>
      <c r="P69" s="127" t="n"/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</row>
    <row r="70" ht="19.5" customHeight="1" s="174">
      <c r="A70" s="1" t="n"/>
      <c r="B70" s="13" t="inlineStr">
        <is>
          <t>Name                      :</t>
        </is>
      </c>
      <c r="C70" s="76">
        <f>C10</f>
        <v/>
      </c>
      <c r="D70" s="184" t="n"/>
      <c r="E70" s="184" t="n"/>
      <c r="F70" s="184" t="n"/>
      <c r="G70" s="13" t="inlineStr">
        <is>
          <t>Plate No./Year/Model :</t>
        </is>
      </c>
      <c r="H70" s="76">
        <f>K10</f>
        <v/>
      </c>
      <c r="I70" s="1" t="n"/>
      <c r="J70" s="76">
        <f>H10</f>
        <v/>
      </c>
      <c r="K70" s="184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74">
      <c r="A71" s="17" t="n"/>
      <c r="B71" s="12" t="inlineStr">
        <is>
          <t>Service Advisor       :</t>
        </is>
      </c>
      <c r="C71" s="142" t="n"/>
      <c r="D71" s="178" t="n"/>
      <c r="E71" s="178" t="n"/>
      <c r="F71" s="178" t="n"/>
      <c r="G71" s="12" t="inlineStr">
        <is>
          <t>Contact                     :</t>
        </is>
      </c>
      <c r="H71" s="17" t="inlineStr">
        <is>
          <t xml:space="preserve"> 09458757441/ 09525065084- VIBER</t>
        </is>
      </c>
      <c r="I71" s="143" t="n"/>
      <c r="J71" s="144" t="n"/>
      <c r="K71" s="144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</row>
    <row r="72" ht="15.75" customHeight="1" s="174">
      <c r="A72" s="17" t="n"/>
      <c r="B72" s="12" t="inlineStr">
        <is>
          <t>Date:</t>
        </is>
      </c>
      <c r="C72" s="199">
        <f>K5</f>
        <v/>
      </c>
      <c r="D72" s="178" t="n"/>
      <c r="E72" s="178" t="n"/>
      <c r="F72" s="178" t="n"/>
      <c r="G72" s="12" t="inlineStr">
        <is>
          <t>Claim Stub                :</t>
        </is>
      </c>
      <c r="H72" s="142">
        <f>K2</f>
        <v/>
      </c>
      <c r="I72" s="178" t="n"/>
      <c r="J72" s="178" t="n"/>
      <c r="K72" s="178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</row>
    <row r="73" ht="12.75" customHeight="1" s="174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8" customHeight="1" s="174">
      <c r="A74" s="1" t="n"/>
      <c r="B74" s="146" t="inlineStr">
        <is>
          <t>(Please present this to our Service Advisor to claim required documents for the release of your vehicle)</t>
        </is>
      </c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8.75" customHeight="1" s="174">
      <c r="A75" s="1" t="n"/>
      <c r="B75" s="136" t="inlineStr">
        <is>
          <t>THANK YOU FOR TRUSTING HONTECH AUTO CENTER, INC!</t>
        </is>
      </c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74">
      <c r="A76" s="1" t="n"/>
      <c r="B76" s="1" t="n"/>
      <c r="C76" s="1" t="n"/>
      <c r="D76" s="1" t="n"/>
      <c r="E76" s="1" t="n"/>
      <c r="F76" s="1" t="n"/>
      <c r="G76" s="1" t="n"/>
      <c r="H76" s="73" t="inlineStr">
        <is>
          <t>Hontech Auto Center, Inc</t>
        </is>
      </c>
      <c r="L76" s="83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174">
      <c r="A77" s="1" t="n"/>
      <c r="B77" s="1" t="n"/>
      <c r="C77" s="1" t="n"/>
      <c r="D77" s="1" t="n"/>
      <c r="E77" s="1" t="n"/>
      <c r="F77" s="1" t="n"/>
      <c r="G77" s="1" t="n"/>
      <c r="H77" s="147" t="inlineStr">
        <is>
          <t>70 Bayan Bayanan Ave. cor Narra St. Marikina Heights, Marikina City</t>
        </is>
      </c>
      <c r="L77" s="73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74">
      <c r="A78" s="1" t="n"/>
      <c r="B78" s="1" t="n"/>
      <c r="C78" s="1" t="n"/>
      <c r="D78" s="1" t="n"/>
      <c r="E78" s="1" t="n"/>
      <c r="F78" s="1" t="n"/>
      <c r="G78" s="1" t="n"/>
      <c r="H78" s="73" t="inlineStr">
        <is>
          <t>Tel #: (8)564-4550/ 71219124</t>
        </is>
      </c>
      <c r="L78" s="73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74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74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74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74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7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7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7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7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7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7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7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7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7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7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7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7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7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7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7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7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7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7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7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7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7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7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7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7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7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7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7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7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7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7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7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7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7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7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7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7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7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7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7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7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7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7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7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7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7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7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7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7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7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7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7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7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7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7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7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7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7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7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7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7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7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7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7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7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7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7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7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7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7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7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7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7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7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7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7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7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7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7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7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7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7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7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7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7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7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7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7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7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7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7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7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7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7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7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7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7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7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7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7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7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7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7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7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7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7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7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7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7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7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7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7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7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7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7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7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7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7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7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7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7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7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7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7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7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7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7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7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7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7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7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7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7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7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7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7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7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7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7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7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7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7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7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7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7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7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7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7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7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7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7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7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7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7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7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7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7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7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7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7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7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7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7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7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7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7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7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7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7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7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7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7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7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7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7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7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7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7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7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7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7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7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7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7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7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7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7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7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7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7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7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7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7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7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7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7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7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7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7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7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7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7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7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7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7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7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7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7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7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7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7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7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7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7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7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7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7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7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7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7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7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7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7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7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7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7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7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7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7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7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7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7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7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7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7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7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7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7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7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7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7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7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7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7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7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7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7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7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7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7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7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7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7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7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7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7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7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7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7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7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7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7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7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7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7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7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7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7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7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7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7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7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7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7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74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74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74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74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74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74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7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74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74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74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74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74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74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74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74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74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74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74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74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74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74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74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74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74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74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7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74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74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74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74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74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74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74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74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74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7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74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74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74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74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74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74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74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74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74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7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74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74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74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74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74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74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74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74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74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7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74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74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74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74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74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74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74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74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74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7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74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74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74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74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74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74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74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74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74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7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74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74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74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74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74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74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74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74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74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7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74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74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74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74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74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74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74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74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74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7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74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74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74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74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74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74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74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74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74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7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74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74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74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74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74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74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74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74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74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74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74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74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74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74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74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74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74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74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7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74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74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74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74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74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74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74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74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74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7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74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74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74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74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74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74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74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74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74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7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74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74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74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74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74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74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74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74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74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7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74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74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74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74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74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74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74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74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74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7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74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74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74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74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74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74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74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74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74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7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74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74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74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74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74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74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74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74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74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7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74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74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74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74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74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74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74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74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74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7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74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74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74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74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74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74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74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74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74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7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74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74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74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74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74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74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74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74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74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74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74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74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74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74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74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74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74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74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7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74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74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74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74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74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74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74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74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74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7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74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74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74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74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74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74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74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74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74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7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74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74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74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74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74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74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74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74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74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7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74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74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74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74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74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74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74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74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74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7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74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74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74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74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74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74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74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74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74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7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74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74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74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74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74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74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74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74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74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7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74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74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74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74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74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74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74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74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74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7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74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74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74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74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74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74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74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74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74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7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74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74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74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74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74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74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74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74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74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74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74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74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74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74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74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74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74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74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7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74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74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74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74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74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74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74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74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74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7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74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74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74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74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74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74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74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74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74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7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74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74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74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74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74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74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74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74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74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7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74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74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74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74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74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74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74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74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74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7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74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74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74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74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74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74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74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74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74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7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74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74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74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74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74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74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74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74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74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7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74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74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74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74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74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74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74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74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74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7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74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74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74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74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74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74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74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74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74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7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74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74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74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74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74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74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74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74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74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74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74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74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74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74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74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74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74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74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7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74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74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74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74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74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74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74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74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74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7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74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74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74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74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74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74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74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74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74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7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74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74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74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74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74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74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74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74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74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7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74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74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74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74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74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74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74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74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74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7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74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74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74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74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74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74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74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74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74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7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74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74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74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74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74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74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74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74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74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7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74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74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74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74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74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74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74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74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74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7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74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74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74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74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74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74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74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74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74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7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74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74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74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74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74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74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74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74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74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74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74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74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74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74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74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74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74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74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7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74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74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74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74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74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74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74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74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74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7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74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74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74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74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74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74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74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74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74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7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74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74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74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74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74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74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74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74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74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7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74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74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74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74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74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74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74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74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74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7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74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74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74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74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74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74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74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74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74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7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74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74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74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74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74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74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74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74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74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7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74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74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74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74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74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74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74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74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74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7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74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74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74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74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74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74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74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74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74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7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74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74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74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74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74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74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74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74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74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74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74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74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74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74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74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74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74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74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7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74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74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74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74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74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74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74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74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74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7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74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74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74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74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74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74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I54:K54"/>
    <mergeCell ref="C70:F70"/>
    <mergeCell ref="B47:C47"/>
    <mergeCell ref="C62:D62"/>
    <mergeCell ref="B3:C3"/>
    <mergeCell ref="B9:K9"/>
    <mergeCell ref="B74:K74"/>
    <mergeCell ref="H10:I10"/>
    <mergeCell ref="D25:G25"/>
    <mergeCell ref="C58:D58"/>
    <mergeCell ref="I53:K53"/>
    <mergeCell ref="H77:K77"/>
    <mergeCell ref="H61:J61"/>
    <mergeCell ref="C72:F72"/>
    <mergeCell ref="B55:K55"/>
    <mergeCell ref="B15:K15"/>
    <mergeCell ref="B31:C31"/>
    <mergeCell ref="B46:C46"/>
    <mergeCell ref="B27:C27"/>
    <mergeCell ref="H76:K76"/>
    <mergeCell ref="B43:C43"/>
    <mergeCell ref="C13:F13"/>
    <mergeCell ref="C20:D20"/>
    <mergeCell ref="B39:C39"/>
    <mergeCell ref="B48:C48"/>
    <mergeCell ref="C54:D54"/>
    <mergeCell ref="B42:C42"/>
    <mergeCell ref="C53:D53"/>
    <mergeCell ref="B75:K75"/>
    <mergeCell ref="H78:K78"/>
    <mergeCell ref="B16:K16"/>
    <mergeCell ref="C59:D59"/>
    <mergeCell ref="J70:K70"/>
    <mergeCell ref="H11:I11"/>
    <mergeCell ref="B38:C38"/>
    <mergeCell ref="H62:J62"/>
    <mergeCell ref="B22:K22"/>
    <mergeCell ref="B29:C29"/>
    <mergeCell ref="B44:C44"/>
    <mergeCell ref="B56:K56"/>
    <mergeCell ref="B18:K18"/>
    <mergeCell ref="H25:K25"/>
    <mergeCell ref="B25:C26"/>
    <mergeCell ref="B21:K21"/>
    <mergeCell ref="B28:C28"/>
    <mergeCell ref="B34:C34"/>
    <mergeCell ref="B37:C37"/>
    <mergeCell ref="C61:D61"/>
    <mergeCell ref="B41:C41"/>
    <mergeCell ref="B40:C40"/>
    <mergeCell ref="C10:F10"/>
    <mergeCell ref="H13:I13"/>
    <mergeCell ref="B49:C49"/>
    <mergeCell ref="H12:I12"/>
    <mergeCell ref="B30:C30"/>
    <mergeCell ref="B33:C33"/>
    <mergeCell ref="B17:K17"/>
    <mergeCell ref="D24:H24"/>
    <mergeCell ref="C12:F12"/>
    <mergeCell ref="C19:D19"/>
    <mergeCell ref="B45:C45"/>
    <mergeCell ref="H58:J58"/>
    <mergeCell ref="D23:H23"/>
    <mergeCell ref="B32:C32"/>
    <mergeCell ref="B36:C36"/>
    <mergeCell ref="C11:F11"/>
    <mergeCell ref="H72:K72"/>
    <mergeCell ref="C71:F71"/>
    <mergeCell ref="B35:C35"/>
    <mergeCell ref="H59:J59"/>
  </mergeCells>
  <printOptions horizontalCentered="1"/>
  <pageMargins left="0.7" right="0.7" top="0.25" bottom="0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12.71" customWidth="1" style="174" min="1" max="1"/>
    <col width="19.57" customWidth="1" style="174" min="2" max="2"/>
    <col width="8" customWidth="1" style="174" min="3" max="3"/>
    <col width="10.29" customWidth="1" style="174" min="4" max="4"/>
    <col width="15" customWidth="1" style="174" min="5" max="5"/>
    <col width="17" customWidth="1" style="174" min="6" max="6"/>
    <col width="15.71" customWidth="1" style="174" min="7" max="7"/>
    <col width="17" customWidth="1" style="174" min="8" max="8"/>
    <col width="9" customWidth="1" style="174" min="9" max="26"/>
  </cols>
  <sheetData>
    <row r="1" ht="12.75" customHeight="1" s="174">
      <c r="A1" s="1" t="n"/>
      <c r="B1" s="1" t="n"/>
      <c r="C1" s="1" t="n"/>
      <c r="D1" s="1" t="n"/>
      <c r="E1" s="1" t="n"/>
      <c r="F1" s="1" t="n"/>
      <c r="G1" s="1" t="n"/>
      <c r="H1" s="2" t="inlineStr">
        <is>
          <t>Form 2/3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40.5" customHeight="1" s="174">
      <c r="A2" s="1" t="n"/>
      <c r="B2" s="1" t="n"/>
      <c r="C2" s="3" t="n"/>
      <c r="D2" s="3" t="n"/>
      <c r="E2" s="1" t="n"/>
      <c r="F2" s="1" t="n"/>
      <c r="G2" s="4" t="inlineStr">
        <is>
          <t>QUOTATION NO.</t>
        </is>
      </c>
      <c r="H2" s="5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2" customHeight="1" s="174">
      <c r="A3" s="6" t="inlineStr">
        <is>
          <t>"Building Trust"</t>
        </is>
      </c>
      <c r="C3" s="3" t="n"/>
      <c r="D3" s="3" t="n"/>
      <c r="E3" s="1" t="n"/>
      <c r="F3" s="1" t="n"/>
      <c r="G3" s="4" t="n"/>
      <c r="H3" s="8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" customHeight="1" s="174">
      <c r="A4" s="10" t="inlineStr">
        <is>
          <t>Hontech Auto Center</t>
        </is>
      </c>
      <c r="B4" s="10" t="n"/>
      <c r="C4" s="3" t="n"/>
      <c r="D4" s="3" t="n"/>
      <c r="E4" s="1" t="n"/>
      <c r="F4" s="1" t="n"/>
      <c r="G4" s="1" t="n"/>
      <c r="H4" s="1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75" customHeight="1" s="174">
      <c r="A5" s="12" t="inlineStr">
        <is>
          <t>70 Bayan Bayanan Ave cor Narra St.</t>
        </is>
      </c>
      <c r="B5" s="13" t="n"/>
      <c r="C5" s="13" t="n"/>
      <c r="D5" s="1" t="n"/>
      <c r="E5" s="1" t="n"/>
      <c r="F5" s="1" t="n"/>
      <c r="G5" s="15" t="inlineStr">
        <is>
          <t>DATE:</t>
        </is>
      </c>
      <c r="H5" s="16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75" customHeight="1" s="174">
      <c r="A6" s="13" t="inlineStr">
        <is>
          <t>Marikina Heights, Marikina City</t>
        </is>
      </c>
      <c r="B6" s="13" t="n"/>
      <c r="C6" s="13" t="n"/>
      <c r="D6" s="1" t="n"/>
      <c r="E6" s="1" t="n"/>
      <c r="F6" s="1" t="n"/>
      <c r="G6" s="15" t="inlineStr">
        <is>
          <t>JOB ORDER NO.:</t>
        </is>
      </c>
      <c r="H6" s="16">
        <f>Job_Order!K2</f>
        <v/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174">
      <c r="A7" s="13" t="inlineStr">
        <is>
          <t>fb.com/hontechautocenter</t>
        </is>
      </c>
      <c r="B7" s="13" t="n"/>
      <c r="C7" s="13" t="n"/>
      <c r="D7" s="1" t="n"/>
      <c r="E7" s="1" t="n"/>
      <c r="F7" s="1" t="n"/>
      <c r="G7" s="15" t="inlineStr">
        <is>
          <t>PROMISED DATE:</t>
        </is>
      </c>
      <c r="H7" s="16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174">
      <c r="A8" s="13">
        <f>Job_Order!B8</f>
        <v/>
      </c>
      <c r="B8" s="13" t="n"/>
      <c r="C8" s="13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174">
      <c r="A9" s="200" t="inlineStr">
        <is>
          <t>CUSTOMER DETAILS</t>
        </is>
      </c>
      <c r="B9" s="186" t="n"/>
      <c r="C9" s="186" t="n"/>
      <c r="D9" s="186" t="n"/>
      <c r="E9" s="186" t="n"/>
      <c r="F9" s="186" t="n"/>
      <c r="G9" s="186" t="n"/>
      <c r="H9" s="20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174">
      <c r="A10" s="29" t="inlineStr">
        <is>
          <t>Name:</t>
        </is>
      </c>
      <c r="B10" s="33">
        <f>Job_Order!C10</f>
        <v/>
      </c>
      <c r="C10" s="202" t="n"/>
      <c r="D10" s="202" t="n"/>
      <c r="E10" s="202" t="n"/>
      <c r="F10" s="36" t="inlineStr">
        <is>
          <t>Plate No:</t>
        </is>
      </c>
      <c r="G10" s="203">
        <f>Job_Order!K10</f>
        <v/>
      </c>
      <c r="H10" s="204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174">
      <c r="A11" s="41" t="inlineStr">
        <is>
          <t>Address:</t>
        </is>
      </c>
      <c r="B11" s="33">
        <f>Job_Order!C11</f>
        <v/>
      </c>
      <c r="C11" s="202" t="n"/>
      <c r="D11" s="202" t="n"/>
      <c r="E11" s="202" t="n"/>
      <c r="F11" s="13" t="inlineStr">
        <is>
          <t>Year/Model:</t>
        </is>
      </c>
      <c r="G11" s="203">
        <f>Job_Order!H10</f>
        <v/>
      </c>
      <c r="H11" s="204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174">
      <c r="A12" s="41" t="inlineStr">
        <is>
          <t>Contact No:</t>
        </is>
      </c>
      <c r="B12" s="33">
        <f>Job_Order!C12</f>
        <v/>
      </c>
      <c r="C12" s="202" t="n"/>
      <c r="D12" s="202" t="n"/>
      <c r="E12" s="202" t="n"/>
      <c r="F12" s="13" t="inlineStr">
        <is>
          <t>Color:</t>
        </is>
      </c>
      <c r="G12" s="203">
        <f>Job_Order!K13</f>
        <v/>
      </c>
      <c r="H12" s="204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174">
      <c r="A13" s="51" t="n"/>
      <c r="B13" s="13" t="n"/>
      <c r="C13" s="13" t="n"/>
      <c r="D13" s="1" t="n"/>
      <c r="E13" s="1" t="n"/>
      <c r="F13" s="9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2.75" customHeight="1" s="174">
      <c r="A14" s="56" t="inlineStr">
        <is>
          <t>PARTS/MATERIAL</t>
        </is>
      </c>
      <c r="B14" s="181" t="n"/>
      <c r="C14" s="56" t="inlineStr">
        <is>
          <t>QTY</t>
        </is>
      </c>
      <c r="D14" s="57" t="inlineStr">
        <is>
          <t>FRT</t>
        </is>
      </c>
      <c r="E14" s="57" t="inlineStr">
        <is>
          <t>LABOR</t>
        </is>
      </c>
      <c r="F14" s="56" t="inlineStr">
        <is>
          <t>PARTS</t>
        </is>
      </c>
      <c r="G14" s="56" t="inlineStr">
        <is>
          <t>MATERALS</t>
        </is>
      </c>
      <c r="H14" s="56" t="inlineStr">
        <is>
          <t>AMOUNT</t>
        </is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174">
      <c r="A15" s="205" t="n"/>
      <c r="B15" s="181" t="n"/>
      <c r="C15" s="63" t="n"/>
      <c r="D15" s="65" t="n"/>
      <c r="E15" s="65">
        <f>D15*550</f>
        <v/>
      </c>
      <c r="F15" s="65" t="n"/>
      <c r="G15" s="65" t="n"/>
      <c r="H15" s="72">
        <f>E15+F15+G15</f>
        <v/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3.5" customHeight="1" s="174">
      <c r="A16" s="206" t="n"/>
      <c r="B16" s="181" t="n"/>
      <c r="C16" s="63" t="n"/>
      <c r="D16" s="72" t="n"/>
      <c r="E16" s="65">
        <f>D16*550</f>
        <v/>
      </c>
      <c r="F16" s="72" t="n"/>
      <c r="G16" s="72" t="n"/>
      <c r="H16" s="72">
        <f>E16+F16+G16</f>
        <v/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1.25" customHeight="1" s="174">
      <c r="A17" s="206" t="n"/>
      <c r="B17" s="181" t="n"/>
      <c r="C17" s="63" t="n"/>
      <c r="D17" s="72" t="n"/>
      <c r="E17" s="65">
        <f>D17*550</f>
        <v/>
      </c>
      <c r="F17" s="72" t="n"/>
      <c r="G17" s="72" t="n"/>
      <c r="H17" s="72">
        <f>E17+F17+G17</f>
        <v/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174">
      <c r="A18" s="206" t="n"/>
      <c r="B18" s="181" t="n"/>
      <c r="C18" s="63" t="n"/>
      <c r="D18" s="72" t="n"/>
      <c r="E18" s="65">
        <f>D18*550</f>
        <v/>
      </c>
      <c r="F18" s="72" t="n"/>
      <c r="G18" s="72" t="n"/>
      <c r="H18" s="72">
        <f>E18+F18+G18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" customHeight="1" s="174">
      <c r="A19" s="206" t="n"/>
      <c r="B19" s="181" t="n"/>
      <c r="C19" s="63" t="n"/>
      <c r="D19" s="72" t="n"/>
      <c r="E19" s="65">
        <f>D19*550</f>
        <v/>
      </c>
      <c r="F19" s="72" t="n"/>
      <c r="G19" s="72" t="n"/>
      <c r="H19" s="72">
        <f>E19+F19+G19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174">
      <c r="A20" s="205" t="n"/>
      <c r="B20" s="181" t="n"/>
      <c r="C20" s="63" t="n"/>
      <c r="D20" s="65" t="n"/>
      <c r="E20" s="65">
        <f>D20*550</f>
        <v/>
      </c>
      <c r="F20" s="65" t="n"/>
      <c r="G20" s="65" t="n"/>
      <c r="H20" s="72">
        <f>E20+F20+G20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174">
      <c r="A21" s="205" t="n"/>
      <c r="B21" s="181" t="n"/>
      <c r="C21" s="63" t="n"/>
      <c r="D21" s="65" t="n"/>
      <c r="E21" s="65">
        <f>D21*550</f>
        <v/>
      </c>
      <c r="F21" s="65" t="n"/>
      <c r="G21" s="65" t="n"/>
      <c r="H21" s="65">
        <f>E21+F21+G21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174">
      <c r="A22" s="206" t="n"/>
      <c r="B22" s="181" t="n"/>
      <c r="C22" s="63" t="n"/>
      <c r="D22" s="72" t="n"/>
      <c r="E22" s="65">
        <f>D22*550</f>
        <v/>
      </c>
      <c r="F22" s="72" t="n"/>
      <c r="G22" s="72" t="n"/>
      <c r="H22" s="72">
        <f>E22+F22+G22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" customHeight="1" s="174">
      <c r="A23" s="206" t="n"/>
      <c r="B23" s="181" t="n"/>
      <c r="C23" s="63" t="n"/>
      <c r="D23" s="72" t="n"/>
      <c r="E23" s="65">
        <f>D23*550</f>
        <v/>
      </c>
      <c r="F23" s="72" t="n"/>
      <c r="G23" s="72" t="n"/>
      <c r="H23" s="72">
        <f>E23+F23+G23</f>
        <v/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174">
      <c r="A24" s="205" t="n"/>
      <c r="B24" s="181" t="n"/>
      <c r="C24" s="63" t="n"/>
      <c r="D24" s="65" t="n"/>
      <c r="E24" s="65">
        <f>D24*550</f>
        <v/>
      </c>
      <c r="F24" s="65" t="n"/>
      <c r="G24" s="65" t="n"/>
      <c r="H24" s="65">
        <f>E24+F24+G24</f>
        <v/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" customHeight="1" s="174">
      <c r="A25" s="206" t="n"/>
      <c r="B25" s="181" t="n"/>
      <c r="C25" s="63" t="n"/>
      <c r="D25" s="72" t="n"/>
      <c r="E25" s="65">
        <f>D25*550</f>
        <v/>
      </c>
      <c r="F25" s="72" t="n"/>
      <c r="G25" s="72" t="n"/>
      <c r="H25" s="72">
        <f>E25+F25+G25</f>
        <v/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" customHeight="1" s="174">
      <c r="A26" s="206" t="n"/>
      <c r="B26" s="181" t="n"/>
      <c r="C26" s="63" t="n"/>
      <c r="D26" s="72" t="n"/>
      <c r="E26" s="65">
        <f>D26*550</f>
        <v/>
      </c>
      <c r="F26" s="65" t="n"/>
      <c r="G26" s="65" t="n"/>
      <c r="H26" s="72">
        <f>E26+F26+G26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174">
      <c r="A27" s="205" t="n"/>
      <c r="B27" s="181" t="n"/>
      <c r="C27" s="63" t="n"/>
      <c r="D27" s="65" t="n"/>
      <c r="E27" s="65">
        <f>D27*550</f>
        <v/>
      </c>
      <c r="F27" s="65" t="n"/>
      <c r="G27" s="65" t="n"/>
      <c r="H27" s="65">
        <f>E27+F27+G27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174">
      <c r="A28" s="205" t="n"/>
      <c r="B28" s="181" t="n"/>
      <c r="C28" s="92" t="n"/>
      <c r="D28" s="65" t="n"/>
      <c r="E28" s="65">
        <f>D28*550</f>
        <v/>
      </c>
      <c r="F28" s="65" t="n"/>
      <c r="G28" s="65" t="n"/>
      <c r="H28" s="65">
        <f>E28+F28+G28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174">
      <c r="A29" s="205" t="n"/>
      <c r="B29" s="181" t="n"/>
      <c r="C29" s="92" t="n"/>
      <c r="D29" s="65" t="n"/>
      <c r="E29" s="65">
        <f>D29*550</f>
        <v/>
      </c>
      <c r="F29" s="65" t="n"/>
      <c r="G29" s="65" t="n"/>
      <c r="H29" s="65">
        <f>E29+F29+G29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174">
      <c r="A30" s="207" t="n"/>
      <c r="B30" s="181" t="n"/>
      <c r="C30" s="63" t="n"/>
      <c r="D30" s="65" t="n"/>
      <c r="E30" s="65">
        <f>D30*550</f>
        <v/>
      </c>
      <c r="F30" s="65" t="n"/>
      <c r="G30" s="65" t="n"/>
      <c r="H30" s="72">
        <f>E30+F30+G30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174">
      <c r="A31" s="205" t="n"/>
      <c r="B31" s="181" t="n"/>
      <c r="C31" s="63" t="n"/>
      <c r="D31" s="65" t="n"/>
      <c r="E31" s="65">
        <f>D31*550</f>
        <v/>
      </c>
      <c r="F31" s="65" t="n"/>
      <c r="G31" s="65" t="n"/>
      <c r="H31" s="65">
        <f>E31+F31+G31</f>
        <v/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174">
      <c r="A32" s="205" t="n"/>
      <c r="B32" s="181" t="n"/>
      <c r="C32" s="92" t="n"/>
      <c r="D32" s="65" t="n"/>
      <c r="E32" s="65">
        <f>D32*550</f>
        <v/>
      </c>
      <c r="F32" s="65" t="n"/>
      <c r="G32" s="65" t="n"/>
      <c r="H32" s="65">
        <f>E32+F32+G32</f>
        <v/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174">
      <c r="A33" s="205" t="n"/>
      <c r="B33" s="181" t="n"/>
      <c r="C33" s="92" t="n"/>
      <c r="D33" s="65" t="n"/>
      <c r="E33" s="65">
        <f>D33*550</f>
        <v/>
      </c>
      <c r="F33" s="65" t="n"/>
      <c r="G33" s="65" t="n"/>
      <c r="H33" s="65">
        <f>E33+F33+G33</f>
        <v/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174">
      <c r="A34" s="205" t="n"/>
      <c r="B34" s="181" t="n"/>
      <c r="C34" s="92" t="n"/>
      <c r="D34" s="65" t="n"/>
      <c r="E34" s="65">
        <f>D34*550</f>
        <v/>
      </c>
      <c r="F34" s="65" t="n"/>
      <c r="G34" s="65" t="n"/>
      <c r="H34" s="65">
        <f>E34+F34+G34</f>
        <v/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174">
      <c r="A35" s="205" t="n"/>
      <c r="B35" s="181" t="n"/>
      <c r="C35" s="63" t="n"/>
      <c r="D35" s="65" t="n"/>
      <c r="E35" s="65">
        <f>D35*550</f>
        <v/>
      </c>
      <c r="F35" s="65" t="n"/>
      <c r="G35" s="65" t="n"/>
      <c r="H35" s="65">
        <f>E35+F35+G35</f>
        <v/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174">
      <c r="A36" s="205" t="n"/>
      <c r="B36" s="181" t="n"/>
      <c r="C36" s="63" t="n"/>
      <c r="D36" s="65" t="n"/>
      <c r="E36" s="65">
        <f>D36*550</f>
        <v/>
      </c>
      <c r="F36" s="65" t="n"/>
      <c r="G36" s="65" t="n"/>
      <c r="H36" s="65">
        <f>E36+F36+G36</f>
        <v/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174">
      <c r="A37" s="205" t="n"/>
      <c r="B37" s="181" t="n"/>
      <c r="C37" s="63" t="n"/>
      <c r="D37" s="65" t="n"/>
      <c r="E37" s="65">
        <f>D37*550</f>
        <v/>
      </c>
      <c r="F37" s="65" t="n"/>
      <c r="G37" s="65" t="n"/>
      <c r="H37" s="65">
        <f>E37+F37+G37</f>
        <v/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174">
      <c r="A38" s="205" t="n"/>
      <c r="B38" s="181" t="n"/>
      <c r="C38" s="63" t="n"/>
      <c r="D38" s="65" t="n"/>
      <c r="E38" s="65">
        <f>D38*550</f>
        <v/>
      </c>
      <c r="F38" s="65" t="n"/>
      <c r="G38" s="65" t="n"/>
      <c r="H38" s="65">
        <f>E38+F38+G38</f>
        <v/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174">
      <c r="A39" s="205" t="n"/>
      <c r="B39" s="181" t="n"/>
      <c r="C39" s="63" t="n"/>
      <c r="D39" s="65" t="n"/>
      <c r="E39" s="65">
        <f>D39*550</f>
        <v/>
      </c>
      <c r="F39" s="65" t="n"/>
      <c r="G39" s="65" t="n"/>
      <c r="H39" s="65">
        <f>E39+F39+G39</f>
        <v/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174">
      <c r="A40" s="205" t="n"/>
      <c r="B40" s="181" t="n"/>
      <c r="C40" s="63" t="n"/>
      <c r="D40" s="65" t="n"/>
      <c r="E40" s="65">
        <f>D40*550</f>
        <v/>
      </c>
      <c r="F40" s="65" t="n"/>
      <c r="G40" s="65" t="n"/>
      <c r="H40" s="65">
        <f>E40+F40+G40</f>
        <v/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174">
      <c r="A41" s="205" t="n"/>
      <c r="B41" s="181" t="n"/>
      <c r="C41" s="63" t="n"/>
      <c r="D41" s="65" t="n"/>
      <c r="E41" s="65">
        <f>D41*550</f>
        <v/>
      </c>
      <c r="F41" s="65" t="n"/>
      <c r="G41" s="65" t="n"/>
      <c r="H41" s="65">
        <f>E41+F41+G41</f>
        <v/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174">
      <c r="A42" s="205" t="n"/>
      <c r="B42" s="181" t="n"/>
      <c r="C42" s="63" t="n"/>
      <c r="D42" s="65" t="n"/>
      <c r="E42" s="65">
        <f>D42*550</f>
        <v/>
      </c>
      <c r="F42" s="65" t="n"/>
      <c r="G42" s="65" t="n"/>
      <c r="H42" s="65">
        <f>E42+F42+G42</f>
        <v/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74">
      <c r="A43" s="205" t="n"/>
      <c r="B43" s="181" t="n"/>
      <c r="C43" s="63" t="n"/>
      <c r="D43" s="65" t="n"/>
      <c r="E43" s="65">
        <f>D43*550</f>
        <v/>
      </c>
      <c r="F43" s="65" t="n"/>
      <c r="G43" s="65" t="n"/>
      <c r="H43" s="65">
        <f>E43+F43+G43</f>
        <v/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174">
      <c r="A44" s="205" t="n"/>
      <c r="B44" s="181" t="n"/>
      <c r="C44" s="63" t="n"/>
      <c r="D44" s="65" t="n"/>
      <c r="E44" s="65">
        <f>D44*550</f>
        <v/>
      </c>
      <c r="F44" s="65" t="n"/>
      <c r="G44" s="65" t="n"/>
      <c r="H44" s="65">
        <f>E44+F44+G44</f>
        <v/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174">
      <c r="A45" s="1" t="n"/>
      <c r="B45" s="1" t="n"/>
      <c r="C45" s="1" t="n"/>
      <c r="D45" s="1" t="n"/>
      <c r="E45" s="94" t="n"/>
      <c r="F45" s="1" t="n"/>
      <c r="G45" s="1" t="inlineStr">
        <is>
          <t>LABOR</t>
        </is>
      </c>
      <c r="H45" s="90">
        <f>SUM(E15:E44)</f>
        <v/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174">
      <c r="A46" s="1" t="n"/>
      <c r="B46" s="1" t="n"/>
      <c r="C46" s="1" t="n"/>
      <c r="D46" s="1" t="n"/>
      <c r="E46" s="94" t="n"/>
      <c r="F46" s="1" t="n"/>
      <c r="G46" s="1" t="inlineStr">
        <is>
          <t>VAT 12%</t>
        </is>
      </c>
      <c r="H46" s="90">
        <f>(H45*12%)</f>
        <v/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174">
      <c r="A47" s="1" t="n"/>
      <c r="B47" s="1" t="n"/>
      <c r="C47" s="1" t="n"/>
      <c r="D47" s="1" t="n"/>
      <c r="E47" s="1" t="n"/>
      <c r="F47" s="1" t="n"/>
      <c r="G47" s="1" t="inlineStr">
        <is>
          <t>MATERIALS</t>
        </is>
      </c>
      <c r="H47" s="90">
        <f>SUM(G15:G44)</f>
        <v/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174">
      <c r="A48" s="1" t="n"/>
      <c r="B48" s="1" t="n"/>
      <c r="C48" s="1" t="n"/>
      <c r="D48" s="1" t="n"/>
      <c r="E48" s="1" t="n"/>
      <c r="F48" s="1" t="n"/>
      <c r="G48" s="1" t="inlineStr">
        <is>
          <t>PARTS</t>
        </is>
      </c>
      <c r="H48" s="90">
        <f>SUM(F15:F44)</f>
        <v/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174">
      <c r="A49" s="1" t="n"/>
      <c r="B49" s="1" t="n"/>
      <c r="C49" s="1" t="n"/>
      <c r="D49" s="1" t="n"/>
      <c r="E49" s="1" t="n"/>
      <c r="F49" s="1" t="n"/>
      <c r="G49" s="95" t="inlineStr">
        <is>
          <t>TOTAL</t>
        </is>
      </c>
      <c r="H49" s="97">
        <f>SUM(H45:H48)</f>
        <v/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174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17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17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idden="1" ht="12.75" customHeight="1" s="17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33" customHeight="1" s="174">
      <c r="A54" s="208" t="inlineStr">
        <is>
          <t>TERMS &amp; CONDITIONS</t>
        </is>
      </c>
      <c r="B54" s="209" t="n"/>
      <c r="C54" s="209" t="n"/>
      <c r="D54" s="209" t="n"/>
      <c r="E54" s="209" t="n"/>
      <c r="F54" s="209" t="n"/>
      <c r="G54" s="209" t="n"/>
      <c r="H54" s="210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</row>
    <row r="55" ht="16.5" customHeight="1" s="174">
      <c r="A55" s="110" t="inlineStr">
        <is>
          <t>1. This quotation is valid only for 15 days from the date of issuance.</t>
        </is>
      </c>
      <c r="F55" s="111" t="n"/>
      <c r="G55" s="71" t="n"/>
      <c r="H55" s="112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2.75" customHeight="1" s="174">
      <c r="A56" s="211" t="inlineStr">
        <is>
          <t>2.The details of the estimate provided above are based on our first inspection and do not constitute a guarantee that no further work/parts will be required. The total bill of work will be per the details available on completion of work. Other terms and conditions as applicable.</t>
        </is>
      </c>
      <c r="H56" s="212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7.25" customHeight="1" s="174">
      <c r="A57" s="213" t="n"/>
      <c r="H57" s="212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32.25" customHeight="1" s="174">
      <c r="A58" s="211" t="inlineStr">
        <is>
          <t>3. Under certain circumstances, Hontech shall not be responsible for any loss or damage to the vehicle including article/s left therein while it is in the premise. Failure to claim your vehicle within the prescribed period shall bear a corresponding storage fee.</t>
        </is>
      </c>
      <c r="H58" s="212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24.75" customHeight="1" s="174">
      <c r="A59" s="211" t="inlineStr">
        <is>
          <t>4. To avail of the warranty given for material, parts, and service, owner supplied is discouraged, otherwise a surcharge of 25% of the price of item/s is automatically applied. The price of the item/s shall be the current price of Hontech Auto Center, Inc.</t>
        </is>
      </c>
      <c r="H59" s="212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8.75" customHeight="1" s="174">
      <c r="A60" s="214" t="n"/>
      <c r="B60" s="215" t="n"/>
      <c r="C60" s="215" t="n"/>
      <c r="D60" s="215" t="n"/>
      <c r="E60" s="215" t="n"/>
      <c r="F60" s="215" t="n"/>
      <c r="G60" s="215" t="n"/>
      <c r="H60" s="216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74">
      <c r="A61" s="122" t="inlineStr">
        <is>
          <t>Prepared by:</t>
        </is>
      </c>
      <c r="B61" s="71" t="n"/>
      <c r="C61" s="71" t="n"/>
      <c r="D61" s="71" t="n"/>
      <c r="E61" s="71" t="n"/>
      <c r="F61" s="124" t="inlineStr">
        <is>
          <t>Approved by:</t>
        </is>
      </c>
      <c r="G61" s="71" t="n"/>
      <c r="H61" s="7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36.75" customHeight="1" s="174">
      <c r="A62" s="126" t="n"/>
      <c r="B62" s="184" t="n"/>
      <c r="C62" s="184" t="n"/>
      <c r="D62" s="71" t="n"/>
      <c r="E62" s="71" t="n"/>
      <c r="F62" s="126" t="n"/>
      <c r="G62" s="184" t="n"/>
      <c r="H62" s="184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75" customHeight="1" s="174">
      <c r="A63" s="128" t="inlineStr">
        <is>
          <t>SERVICE ADVISOR</t>
        </is>
      </c>
      <c r="B63" s="186" t="n"/>
      <c r="C63" s="186" t="n"/>
      <c r="D63" s="129" t="n"/>
      <c r="E63" s="129" t="n"/>
      <c r="F63" s="128" t="inlineStr">
        <is>
          <t>GENERAL MANAGER / AUTHORIZED OFFICER</t>
        </is>
      </c>
      <c r="G63" s="186" t="n"/>
      <c r="H63" s="186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24" customHeight="1" s="174">
      <c r="A64" s="217" t="inlineStr">
        <is>
          <t>I hereby authorize the above repair work listed in accordance with our agreed discussion or with my authorized representative.</t>
        </is>
      </c>
      <c r="H64" s="212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29.25" customHeight="1" s="174">
      <c r="A65" s="132" t="n"/>
      <c r="B65" s="132" t="n"/>
      <c r="C65" s="134">
        <f>B10</f>
        <v/>
      </c>
      <c r="D65" s="184" t="n"/>
      <c r="E65" s="184" t="n"/>
      <c r="F65" s="184" t="n"/>
      <c r="G65" s="132" t="n"/>
      <c r="H65" s="132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174">
      <c r="A66" s="135" t="inlineStr">
        <is>
          <t>Customer Name and Signature</t>
        </is>
      </c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37.5" customHeight="1" s="174">
      <c r="A67" s="136" t="inlineStr">
        <is>
          <t>THANK YOU FOR TRUSTING HONTECH AUTO CENTER, INC!</t>
        </is>
      </c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27.75" customHeight="1" s="174"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174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174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174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74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74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74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74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74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74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74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74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74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74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7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7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7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7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7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7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7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7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7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7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7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7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7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7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7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7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7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7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7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7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7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7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7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7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7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7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7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7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7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7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7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7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7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7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7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7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7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7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7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7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7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7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7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7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7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7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7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7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7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7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7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7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7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7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7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7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7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7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7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7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7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7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7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7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7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7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7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7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7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7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7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7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7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7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7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7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7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7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7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7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7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7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7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7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7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7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7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7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7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7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7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7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7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7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7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7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7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7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7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7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7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7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7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7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7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7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7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7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7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7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7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7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7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7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7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7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7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7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7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7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7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7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7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7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7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7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7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7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7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7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7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7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7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7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7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7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7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7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7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7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7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7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7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7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7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7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7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7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7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7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7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7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7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7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7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7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7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7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7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7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7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7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7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7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7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7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7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7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7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7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7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7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7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7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7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7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7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7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7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7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7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7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7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7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7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7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7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7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7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7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7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7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7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7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7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7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7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7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7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7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7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7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7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7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7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7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7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7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7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7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7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7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7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7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7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7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7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7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7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7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7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7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7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7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7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7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7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7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7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7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7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7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7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7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7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7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7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7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7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7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7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7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7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7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7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7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7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7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7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7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7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7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7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7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7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7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7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7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7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7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7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7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7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7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7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7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7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7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7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7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7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7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7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74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74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74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74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74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74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7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74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74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74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74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74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74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74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74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74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74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74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74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74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74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74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74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74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74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7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74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74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74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74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74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74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74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74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74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7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74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74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74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74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74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74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74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74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74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7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74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74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74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74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74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74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74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74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74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7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74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74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74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74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74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74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74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74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74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7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74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74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74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74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74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74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74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74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74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7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74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74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74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74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74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74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74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74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74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7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74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74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74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74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74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74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74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74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74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7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74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74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74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74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74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74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74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74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74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7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74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74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74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74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74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74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74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74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74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74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74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74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74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74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74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74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74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74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7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74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74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74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74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74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74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74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74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74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7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74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74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74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74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74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74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74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74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74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7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74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74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74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74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74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74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74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74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74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7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74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74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74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74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74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74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74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74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74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7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74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74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74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74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74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74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74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74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74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7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74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74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74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74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74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74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74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74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74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7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74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74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74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74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74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74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74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74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74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7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74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74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74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74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74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74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74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74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74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7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74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74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74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74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74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74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74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74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74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74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74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74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74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74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74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74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74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74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7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74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74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74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74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74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74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74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74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74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7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74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74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74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74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74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74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74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74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74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7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74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74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74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74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74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74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74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74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74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7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74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74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74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74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74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74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74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74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74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7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74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74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74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74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74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74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74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74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74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7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74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74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74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74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74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74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74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74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74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7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74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74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74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74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74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74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74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74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74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7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74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74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74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74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74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74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74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74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74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7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74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74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74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74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74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74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74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74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74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74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74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74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74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74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74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74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74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74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7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74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74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74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74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74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74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74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74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74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7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74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74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74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74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74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74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74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74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74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7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74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74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74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74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74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74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74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74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74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7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74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74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74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74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74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74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74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74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74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7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74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74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74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74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74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74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74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74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74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7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74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74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74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74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74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74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74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74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74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7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74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74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74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74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74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74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74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74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74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7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74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74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74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74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74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74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74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74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74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7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74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74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74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74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74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74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74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74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74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74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74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74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74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74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74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74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74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74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7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74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74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74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74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74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74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74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74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74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7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74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74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74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74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74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74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74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74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74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7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74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74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74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74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74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74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74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74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74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7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74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74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74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74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74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74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74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74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74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7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74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74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74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74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74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74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74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74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74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7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74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74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74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74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74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74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74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74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74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7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74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74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74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74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74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74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74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74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74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7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74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74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74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74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74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74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74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74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74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7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74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74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74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74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74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74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74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74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74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74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74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74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74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74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74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74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74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74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7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74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74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74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74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74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74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74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74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74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7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74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74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74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74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74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74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74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74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74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7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74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74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74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74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74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74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74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74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74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7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74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74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74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74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74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74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74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74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74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7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74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74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74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74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74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74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74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74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74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7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74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74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74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74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74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74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74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74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74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7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74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74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74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74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74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74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74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74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74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7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74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74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74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74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74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74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74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74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74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7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74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74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74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74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74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74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74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74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74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74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74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74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74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74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74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74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74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74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7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74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74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74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74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74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74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74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74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74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7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74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74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74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74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74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74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3">
    <mergeCell ref="A9:H9"/>
    <mergeCell ref="A24:B24"/>
    <mergeCell ref="G12:H12"/>
    <mergeCell ref="A30:B30"/>
    <mergeCell ref="A15:B15"/>
    <mergeCell ref="A56:H57"/>
    <mergeCell ref="A59:H59"/>
    <mergeCell ref="G11:H11"/>
    <mergeCell ref="A64:H64"/>
    <mergeCell ref="A60:H60"/>
    <mergeCell ref="A36:B36"/>
    <mergeCell ref="F62:H62"/>
    <mergeCell ref="A16:B16"/>
    <mergeCell ref="A25:B25"/>
    <mergeCell ref="A41:B41"/>
    <mergeCell ref="G10:H10"/>
    <mergeCell ref="A54:H54"/>
    <mergeCell ref="A37:B37"/>
    <mergeCell ref="A62:C62"/>
    <mergeCell ref="A66:H66"/>
    <mergeCell ref="A18:B18"/>
    <mergeCell ref="A27:B27"/>
    <mergeCell ref="A3:B3"/>
    <mergeCell ref="A26:B26"/>
    <mergeCell ref="A21:B21"/>
    <mergeCell ref="A55:E55"/>
    <mergeCell ref="A63:C63"/>
    <mergeCell ref="B12:E12"/>
    <mergeCell ref="A33:B33"/>
    <mergeCell ref="A42:B42"/>
    <mergeCell ref="A32:B32"/>
    <mergeCell ref="B11:E11"/>
    <mergeCell ref="A14:B14"/>
    <mergeCell ref="A67:H68"/>
    <mergeCell ref="C65:F65"/>
    <mergeCell ref="A23:B23"/>
    <mergeCell ref="A17:B17"/>
    <mergeCell ref="A22:B22"/>
    <mergeCell ref="A35:B35"/>
    <mergeCell ref="F63:H63"/>
    <mergeCell ref="A20:B20"/>
    <mergeCell ref="A38:B38"/>
    <mergeCell ref="A29:B29"/>
    <mergeCell ref="A43:B43"/>
    <mergeCell ref="A19:B19"/>
    <mergeCell ref="A28:B28"/>
    <mergeCell ref="A44:B44"/>
    <mergeCell ref="A39:B39"/>
    <mergeCell ref="A40:B40"/>
    <mergeCell ref="B10:E10"/>
    <mergeCell ref="A31:B31"/>
    <mergeCell ref="A58:H58"/>
    <mergeCell ref="A34:B34"/>
  </mergeCells>
  <printOptions horizontalCentered="1"/>
  <pageMargins left="0.1710562041813739" right="0.2850936736356232" top="0.418137387998914" bottom="0.4561498778169971" header="0" footer="0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12.71" customWidth="1" style="174" min="1" max="1"/>
    <col width="19.57" customWidth="1" style="174" min="2" max="2"/>
    <col width="8" customWidth="1" style="174" min="3" max="3"/>
    <col width="10.29" customWidth="1" style="174" min="4" max="4"/>
    <col width="15" customWidth="1" style="174" min="5" max="5"/>
    <col width="17" customWidth="1" style="174" min="6" max="6"/>
    <col width="15.71" customWidth="1" style="174" min="7" max="7"/>
    <col width="17" customWidth="1" style="174" min="8" max="8"/>
    <col width="9" customWidth="1" style="174" min="9" max="26"/>
  </cols>
  <sheetData>
    <row r="1" ht="12.75" customHeight="1" s="174">
      <c r="A1" s="1" t="n"/>
      <c r="B1" s="1" t="n"/>
      <c r="C1" s="1" t="n"/>
      <c r="D1" s="1" t="n"/>
      <c r="E1" s="1" t="n"/>
      <c r="F1" s="1" t="n"/>
      <c r="G1" s="1" t="n"/>
      <c r="H1" s="2" t="inlineStr">
        <is>
          <t>Form 2/3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40.5" customHeight="1" s="174">
      <c r="A2" s="1" t="n"/>
      <c r="B2" s="1" t="n"/>
      <c r="C2" s="3" t="n"/>
      <c r="D2" s="3" t="n"/>
      <c r="E2" s="1" t="n"/>
      <c r="F2" s="1" t="n"/>
      <c r="G2" s="4" t="inlineStr">
        <is>
          <t>QUOTATION NO.</t>
        </is>
      </c>
      <c r="H2" s="5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2" customHeight="1" s="174">
      <c r="A3" s="6" t="inlineStr">
        <is>
          <t>"Building Trust"</t>
        </is>
      </c>
      <c r="C3" s="3" t="n"/>
      <c r="D3" s="3" t="n"/>
      <c r="E3" s="1" t="n"/>
      <c r="F3" s="1" t="n"/>
      <c r="G3" s="4" t="n"/>
      <c r="H3" s="8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" customHeight="1" s="174">
      <c r="A4" s="10" t="inlineStr">
        <is>
          <t>Hontech Auto Center</t>
        </is>
      </c>
      <c r="B4" s="10" t="n"/>
      <c r="C4" s="3" t="n"/>
      <c r="D4" s="3" t="n"/>
      <c r="E4" s="1" t="n"/>
      <c r="F4" s="1" t="n"/>
      <c r="G4" s="1" t="n"/>
      <c r="H4" s="1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75" customHeight="1" s="174">
      <c r="A5" s="12" t="inlineStr">
        <is>
          <t>70 Bayan Bayanan Ave cor Narra St.</t>
        </is>
      </c>
      <c r="B5" s="13" t="n"/>
      <c r="C5" s="13" t="n"/>
      <c r="D5" s="1" t="n"/>
      <c r="E5" s="1" t="n"/>
      <c r="F5" s="1" t="n"/>
      <c r="G5" s="15" t="inlineStr">
        <is>
          <t>DATE:</t>
        </is>
      </c>
      <c r="H5" s="16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75" customHeight="1" s="174">
      <c r="A6" s="13" t="inlineStr">
        <is>
          <t>Marikina Heights, Marikina City</t>
        </is>
      </c>
      <c r="B6" s="13" t="n"/>
      <c r="C6" s="13" t="n"/>
      <c r="D6" s="1" t="n"/>
      <c r="E6" s="1" t="n"/>
      <c r="F6" s="1" t="n"/>
      <c r="G6" s="15" t="inlineStr">
        <is>
          <t>JOB ORDER NO.:</t>
        </is>
      </c>
      <c r="H6" s="16">
        <f>Job_Order!K2</f>
        <v/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174">
      <c r="A7" s="13" t="inlineStr">
        <is>
          <t>fb.com/hontechautocenter</t>
        </is>
      </c>
      <c r="B7" s="13" t="n"/>
      <c r="C7" s="13" t="n"/>
      <c r="D7" s="1" t="n"/>
      <c r="E7" s="1" t="n"/>
      <c r="F7" s="1" t="n"/>
      <c r="G7" s="15" t="inlineStr">
        <is>
          <t>PROMISED DATE:</t>
        </is>
      </c>
      <c r="H7" s="16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174">
      <c r="A8" s="13">
        <f>Job_Order!B8</f>
        <v/>
      </c>
      <c r="B8" s="13" t="n"/>
      <c r="C8" s="13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174">
      <c r="A9" s="200" t="inlineStr">
        <is>
          <t>CUSTOMER DETAILS</t>
        </is>
      </c>
      <c r="B9" s="186" t="n"/>
      <c r="C9" s="186" t="n"/>
      <c r="D9" s="186" t="n"/>
      <c r="E9" s="186" t="n"/>
      <c r="F9" s="186" t="n"/>
      <c r="G9" s="186" t="n"/>
      <c r="H9" s="20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174">
      <c r="A10" s="29" t="inlineStr">
        <is>
          <t>Name:</t>
        </is>
      </c>
      <c r="B10" s="33">
        <f>Job_Order!C10</f>
        <v/>
      </c>
      <c r="C10" s="202" t="n"/>
      <c r="D10" s="202" t="n"/>
      <c r="E10" s="202" t="n"/>
      <c r="F10" s="36" t="inlineStr">
        <is>
          <t>Plate No:</t>
        </is>
      </c>
      <c r="G10" s="203">
        <f>Job_Order!K10</f>
        <v/>
      </c>
      <c r="H10" s="204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174">
      <c r="A11" s="41" t="inlineStr">
        <is>
          <t>Address:</t>
        </is>
      </c>
      <c r="B11" s="33">
        <f>Job_Order!C11</f>
        <v/>
      </c>
      <c r="C11" s="202" t="n"/>
      <c r="D11" s="202" t="n"/>
      <c r="E11" s="202" t="n"/>
      <c r="F11" s="13" t="inlineStr">
        <is>
          <t>Year/Model:</t>
        </is>
      </c>
      <c r="G11" s="203">
        <f>Job_Order!H10</f>
        <v/>
      </c>
      <c r="H11" s="204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174">
      <c r="A12" s="41" t="inlineStr">
        <is>
          <t>Contact No:</t>
        </is>
      </c>
      <c r="B12" s="33">
        <f>Job_Order!C12</f>
        <v/>
      </c>
      <c r="C12" s="202" t="n"/>
      <c r="D12" s="202" t="n"/>
      <c r="E12" s="202" t="n"/>
      <c r="F12" s="13" t="inlineStr">
        <is>
          <t>Color:</t>
        </is>
      </c>
      <c r="G12" s="203">
        <f>Job_Order!K13</f>
        <v/>
      </c>
      <c r="H12" s="204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174">
      <c r="A13" s="51" t="n"/>
      <c r="B13" s="13" t="n"/>
      <c r="C13" s="13" t="n"/>
      <c r="D13" s="1" t="n"/>
      <c r="E13" s="1" t="n"/>
      <c r="F13" s="9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2.75" customHeight="1" s="174">
      <c r="A14" s="56" t="inlineStr">
        <is>
          <t>PARTS/MATERIAL</t>
        </is>
      </c>
      <c r="B14" s="181" t="n"/>
      <c r="C14" s="56" t="inlineStr">
        <is>
          <t>QTY</t>
        </is>
      </c>
      <c r="D14" s="57" t="inlineStr">
        <is>
          <t>FRT</t>
        </is>
      </c>
      <c r="E14" s="57" t="inlineStr">
        <is>
          <t>LABOR</t>
        </is>
      </c>
      <c r="F14" s="56" t="inlineStr">
        <is>
          <t>PARTS</t>
        </is>
      </c>
      <c r="G14" s="56" t="inlineStr">
        <is>
          <t>MATERALS</t>
        </is>
      </c>
      <c r="H14" s="56" t="inlineStr">
        <is>
          <t>AMOUNT</t>
        </is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174">
      <c r="A15" s="205" t="n"/>
      <c r="B15" s="181" t="n"/>
      <c r="C15" s="63" t="n"/>
      <c r="D15" s="65" t="n"/>
      <c r="E15" s="65">
        <f>D15*550</f>
        <v/>
      </c>
      <c r="F15" s="65" t="n"/>
      <c r="G15" s="65" t="n"/>
      <c r="H15" s="72">
        <f>E15+F15+G15</f>
        <v/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3.5" customHeight="1" s="174">
      <c r="A16" s="206" t="n"/>
      <c r="B16" s="181" t="n"/>
      <c r="C16" s="63" t="n"/>
      <c r="D16" s="72" t="n"/>
      <c r="E16" s="65">
        <f>D16*550</f>
        <v/>
      </c>
      <c r="F16" s="72" t="n"/>
      <c r="G16" s="72" t="n"/>
      <c r="H16" s="72">
        <f>E16+F16+G16</f>
        <v/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1.25" customHeight="1" s="174">
      <c r="A17" s="206" t="n"/>
      <c r="B17" s="181" t="n"/>
      <c r="C17" s="63" t="n"/>
      <c r="D17" s="72" t="n"/>
      <c r="E17" s="65">
        <f>D17*550</f>
        <v/>
      </c>
      <c r="F17" s="72" t="n"/>
      <c r="G17" s="72" t="n"/>
      <c r="H17" s="72">
        <f>E17+F17+G17</f>
        <v/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174">
      <c r="A18" s="206" t="n"/>
      <c r="B18" s="181" t="n"/>
      <c r="C18" s="63" t="n"/>
      <c r="D18" s="72" t="n"/>
      <c r="E18" s="65">
        <f>D18*550</f>
        <v/>
      </c>
      <c r="F18" s="72" t="n"/>
      <c r="G18" s="72" t="n"/>
      <c r="H18" s="72">
        <f>E18+F18+G18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" customHeight="1" s="174">
      <c r="A19" s="206" t="n"/>
      <c r="B19" s="181" t="n"/>
      <c r="C19" s="63" t="n"/>
      <c r="D19" s="72" t="n"/>
      <c r="E19" s="65">
        <f>D19*550</f>
        <v/>
      </c>
      <c r="F19" s="72" t="n"/>
      <c r="G19" s="72" t="n"/>
      <c r="H19" s="72">
        <f>E19+F19+G19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174">
      <c r="A20" s="205" t="n"/>
      <c r="B20" s="181" t="n"/>
      <c r="C20" s="63" t="n"/>
      <c r="D20" s="65" t="n"/>
      <c r="E20" s="65">
        <f>D20*550</f>
        <v/>
      </c>
      <c r="F20" s="65" t="n"/>
      <c r="G20" s="65" t="n"/>
      <c r="H20" s="72">
        <f>E20+F20+G20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174">
      <c r="A21" s="205" t="n"/>
      <c r="B21" s="181" t="n"/>
      <c r="C21" s="63" t="n"/>
      <c r="D21" s="65" t="n"/>
      <c r="E21" s="65">
        <f>D21*550</f>
        <v/>
      </c>
      <c r="F21" s="65" t="n"/>
      <c r="G21" s="65" t="n"/>
      <c r="H21" s="65">
        <f>E21+F21+G21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174">
      <c r="A22" s="206" t="n"/>
      <c r="B22" s="181" t="n"/>
      <c r="C22" s="63" t="n"/>
      <c r="D22" s="72" t="n"/>
      <c r="E22" s="65">
        <f>D22*550</f>
        <v/>
      </c>
      <c r="F22" s="72" t="n"/>
      <c r="G22" s="72" t="n"/>
      <c r="H22" s="72">
        <f>E22+F22+G22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" customHeight="1" s="174">
      <c r="A23" s="206" t="n"/>
      <c r="B23" s="181" t="n"/>
      <c r="C23" s="63" t="n"/>
      <c r="D23" s="72" t="n"/>
      <c r="E23" s="65">
        <f>D23*550</f>
        <v/>
      </c>
      <c r="F23" s="72" t="n"/>
      <c r="G23" s="72" t="n"/>
      <c r="H23" s="72">
        <f>E23+F23+G23</f>
        <v/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174">
      <c r="A24" s="205" t="n"/>
      <c r="B24" s="181" t="n"/>
      <c r="C24" s="63" t="n"/>
      <c r="D24" s="65" t="n"/>
      <c r="E24" s="65">
        <f>D24*550</f>
        <v/>
      </c>
      <c r="F24" s="65" t="n"/>
      <c r="G24" s="65" t="n"/>
      <c r="H24" s="65">
        <f>E24+F24+G24</f>
        <v/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" customHeight="1" s="174">
      <c r="A25" s="206" t="n"/>
      <c r="B25" s="181" t="n"/>
      <c r="C25" s="63" t="n"/>
      <c r="D25" s="72" t="n"/>
      <c r="E25" s="65">
        <f>D25*550</f>
        <v/>
      </c>
      <c r="F25" s="72" t="n"/>
      <c r="G25" s="72" t="n"/>
      <c r="H25" s="72">
        <f>E25+F25+G25</f>
        <v/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" customHeight="1" s="174">
      <c r="A26" s="206" t="n"/>
      <c r="B26" s="181" t="n"/>
      <c r="C26" s="63" t="n"/>
      <c r="D26" s="72" t="n"/>
      <c r="E26" s="65">
        <f>D26*550</f>
        <v/>
      </c>
      <c r="F26" s="65" t="n"/>
      <c r="G26" s="65" t="n"/>
      <c r="H26" s="72">
        <f>E26+F26+G26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174">
      <c r="A27" s="205" t="n"/>
      <c r="B27" s="181" t="n"/>
      <c r="C27" s="63" t="n"/>
      <c r="D27" s="65" t="n"/>
      <c r="E27" s="65">
        <f>D27*550</f>
        <v/>
      </c>
      <c r="F27" s="65" t="n"/>
      <c r="G27" s="65" t="n"/>
      <c r="H27" s="65">
        <f>E27+F27+G27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174">
      <c r="A28" s="205" t="n"/>
      <c r="B28" s="181" t="n"/>
      <c r="C28" s="92" t="n"/>
      <c r="D28" s="65" t="n"/>
      <c r="E28" s="65">
        <f>D28*550</f>
        <v/>
      </c>
      <c r="F28" s="65" t="n"/>
      <c r="G28" s="65" t="n"/>
      <c r="H28" s="65">
        <f>E28+F28+G28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174">
      <c r="A29" s="205" t="n"/>
      <c r="B29" s="181" t="n"/>
      <c r="C29" s="92" t="n"/>
      <c r="D29" s="65" t="n"/>
      <c r="E29" s="65">
        <f>D29*550</f>
        <v/>
      </c>
      <c r="F29" s="65" t="n"/>
      <c r="G29" s="65" t="n"/>
      <c r="H29" s="65">
        <f>E29+F29+G29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174">
      <c r="A30" s="207" t="n"/>
      <c r="B30" s="181" t="n"/>
      <c r="C30" s="63" t="n"/>
      <c r="D30" s="65" t="n"/>
      <c r="E30" s="65">
        <f>D30*550</f>
        <v/>
      </c>
      <c r="F30" s="65" t="n"/>
      <c r="G30" s="65" t="n"/>
      <c r="H30" s="72">
        <f>E30+F30+G30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174">
      <c r="A31" s="205" t="n"/>
      <c r="B31" s="181" t="n"/>
      <c r="C31" s="63" t="n"/>
      <c r="D31" s="65" t="n"/>
      <c r="E31" s="65">
        <f>D31*550</f>
        <v/>
      </c>
      <c r="F31" s="65" t="n"/>
      <c r="G31" s="65" t="n"/>
      <c r="H31" s="65">
        <f>E31+F31+G31</f>
        <v/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174">
      <c r="A32" s="205" t="n"/>
      <c r="B32" s="181" t="n"/>
      <c r="C32" s="92" t="n"/>
      <c r="D32" s="65" t="n"/>
      <c r="E32" s="65">
        <f>D32*550</f>
        <v/>
      </c>
      <c r="F32" s="65" t="n"/>
      <c r="G32" s="65" t="n"/>
      <c r="H32" s="65">
        <f>E32+F32+G32</f>
        <v/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174">
      <c r="A33" s="205" t="n"/>
      <c r="B33" s="181" t="n"/>
      <c r="C33" s="92" t="n"/>
      <c r="D33" s="65" t="n"/>
      <c r="E33" s="65">
        <f>D33*550</f>
        <v/>
      </c>
      <c r="F33" s="65" t="n"/>
      <c r="G33" s="65" t="n"/>
      <c r="H33" s="65">
        <f>E33+F33+G33</f>
        <v/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174">
      <c r="A34" s="205" t="n"/>
      <c r="B34" s="181" t="n"/>
      <c r="C34" s="92" t="n"/>
      <c r="D34" s="65" t="n"/>
      <c r="E34" s="65">
        <f>D34*550</f>
        <v/>
      </c>
      <c r="F34" s="65" t="n"/>
      <c r="G34" s="65" t="n"/>
      <c r="H34" s="65">
        <f>E34+F34+G34</f>
        <v/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174">
      <c r="A35" s="205" t="n"/>
      <c r="B35" s="181" t="n"/>
      <c r="C35" s="63" t="n"/>
      <c r="D35" s="65" t="n"/>
      <c r="E35" s="65">
        <f>D35*550</f>
        <v/>
      </c>
      <c r="F35" s="65" t="n"/>
      <c r="G35" s="65" t="n"/>
      <c r="H35" s="65">
        <f>E35+F35+G35</f>
        <v/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174">
      <c r="A36" s="205" t="n"/>
      <c r="B36" s="181" t="n"/>
      <c r="C36" s="63" t="n"/>
      <c r="D36" s="65" t="n"/>
      <c r="E36" s="65">
        <f>D36*550</f>
        <v/>
      </c>
      <c r="F36" s="65" t="n"/>
      <c r="G36" s="65" t="n"/>
      <c r="H36" s="65">
        <f>E36+F36+G36</f>
        <v/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174">
      <c r="A37" s="205" t="n"/>
      <c r="B37" s="181" t="n"/>
      <c r="C37" s="63" t="n"/>
      <c r="D37" s="65" t="n"/>
      <c r="E37" s="65">
        <f>D37*550</f>
        <v/>
      </c>
      <c r="F37" s="65" t="n"/>
      <c r="G37" s="65" t="n"/>
      <c r="H37" s="65">
        <f>E37+F37+G37</f>
        <v/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174">
      <c r="A38" s="205" t="n"/>
      <c r="B38" s="181" t="n"/>
      <c r="C38" s="63" t="n"/>
      <c r="D38" s="65" t="n"/>
      <c r="E38" s="65">
        <f>D38*550</f>
        <v/>
      </c>
      <c r="F38" s="65" t="n"/>
      <c r="G38" s="65" t="n"/>
      <c r="H38" s="65">
        <f>E38+F38+G38</f>
        <v/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174">
      <c r="A39" s="205" t="n"/>
      <c r="B39" s="181" t="n"/>
      <c r="C39" s="63" t="n"/>
      <c r="D39" s="65" t="n"/>
      <c r="E39" s="65">
        <f>D39*550</f>
        <v/>
      </c>
      <c r="F39" s="65" t="n"/>
      <c r="G39" s="65" t="n"/>
      <c r="H39" s="65">
        <f>E39+F39+G39</f>
        <v/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174">
      <c r="A40" s="205" t="n"/>
      <c r="B40" s="181" t="n"/>
      <c r="C40" s="63" t="n"/>
      <c r="D40" s="65" t="n"/>
      <c r="E40" s="65">
        <f>D40*550</f>
        <v/>
      </c>
      <c r="F40" s="65" t="n"/>
      <c r="G40" s="65" t="n"/>
      <c r="H40" s="65">
        <f>E40+F40+G40</f>
        <v/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174">
      <c r="A41" s="205" t="n"/>
      <c r="B41" s="181" t="n"/>
      <c r="C41" s="63" t="n"/>
      <c r="D41" s="65" t="n"/>
      <c r="E41" s="65">
        <f>D41*550</f>
        <v/>
      </c>
      <c r="F41" s="65" t="n"/>
      <c r="G41" s="65" t="n"/>
      <c r="H41" s="65">
        <f>E41+F41+G41</f>
        <v/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174">
      <c r="A42" s="205" t="n"/>
      <c r="B42" s="181" t="n"/>
      <c r="C42" s="63" t="n"/>
      <c r="D42" s="65" t="n"/>
      <c r="E42" s="65">
        <f>D42*550</f>
        <v/>
      </c>
      <c r="F42" s="65" t="n"/>
      <c r="G42" s="65" t="n"/>
      <c r="H42" s="65">
        <f>E42+F42+G42</f>
        <v/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74">
      <c r="A43" s="205" t="n"/>
      <c r="B43" s="181" t="n"/>
      <c r="C43" s="63" t="n"/>
      <c r="D43" s="65" t="n"/>
      <c r="E43" s="65">
        <f>D43*550</f>
        <v/>
      </c>
      <c r="F43" s="65" t="n"/>
      <c r="G43" s="65" t="n"/>
      <c r="H43" s="65">
        <f>E43+F43+G43</f>
        <v/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174">
      <c r="A44" s="205" t="n"/>
      <c r="B44" s="181" t="n"/>
      <c r="C44" s="63" t="n"/>
      <c r="D44" s="65" t="n"/>
      <c r="E44" s="65">
        <f>D44*550</f>
        <v/>
      </c>
      <c r="F44" s="65" t="n"/>
      <c r="G44" s="65" t="n"/>
      <c r="H44" s="65">
        <f>E44+F44+G44</f>
        <v/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174">
      <c r="A45" s="1" t="n"/>
      <c r="B45" s="1" t="n"/>
      <c r="C45" s="1" t="n"/>
      <c r="D45" s="1" t="n"/>
      <c r="E45" s="94" t="n"/>
      <c r="F45" s="1" t="n"/>
      <c r="G45" s="1" t="inlineStr">
        <is>
          <t>LABOR</t>
        </is>
      </c>
      <c r="H45" s="90">
        <f>SUM(E15:E44)</f>
        <v/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174">
      <c r="A46" s="1" t="n"/>
      <c r="B46" s="1" t="n"/>
      <c r="C46" s="1" t="n"/>
      <c r="D46" s="1" t="n"/>
      <c r="E46" s="94" t="n"/>
      <c r="F46" s="1" t="n"/>
      <c r="G46" s="1" t="inlineStr">
        <is>
          <t>VAT 12%</t>
        </is>
      </c>
      <c r="H46" s="90">
        <f>(H45*12%)</f>
        <v/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174">
      <c r="A47" s="1" t="n"/>
      <c r="B47" s="1" t="n"/>
      <c r="C47" s="1" t="n"/>
      <c r="D47" s="1" t="n"/>
      <c r="E47" s="1" t="n"/>
      <c r="F47" s="1" t="n"/>
      <c r="G47" s="1" t="inlineStr">
        <is>
          <t>MATERIALS</t>
        </is>
      </c>
      <c r="H47" s="90">
        <f>SUM(G15:G44)</f>
        <v/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174">
      <c r="A48" s="1" t="n"/>
      <c r="B48" s="1" t="n"/>
      <c r="C48" s="1" t="n"/>
      <c r="D48" s="1" t="n"/>
      <c r="E48" s="1" t="n"/>
      <c r="F48" s="1" t="n"/>
      <c r="G48" s="1" t="inlineStr">
        <is>
          <t>PARTS</t>
        </is>
      </c>
      <c r="H48" s="90">
        <f>SUM(F15:F44)</f>
        <v/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174">
      <c r="A49" s="1" t="n"/>
      <c r="B49" s="1" t="n"/>
      <c r="C49" s="1" t="n"/>
      <c r="D49" s="1" t="n"/>
      <c r="E49" s="1" t="n"/>
      <c r="F49" s="1" t="n"/>
      <c r="G49" s="95" t="inlineStr">
        <is>
          <t>TOTAL</t>
        </is>
      </c>
      <c r="H49" s="97">
        <f>SUM(H45:H48)</f>
        <v/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174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17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17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idden="1" ht="12.75" customHeight="1" s="17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33" customHeight="1" s="174">
      <c r="A54" s="208" t="inlineStr">
        <is>
          <t>TERMS &amp; CONDITIONS</t>
        </is>
      </c>
      <c r="B54" s="209" t="n"/>
      <c r="C54" s="209" t="n"/>
      <c r="D54" s="209" t="n"/>
      <c r="E54" s="209" t="n"/>
      <c r="F54" s="209" t="n"/>
      <c r="G54" s="209" t="n"/>
      <c r="H54" s="210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</row>
    <row r="55" ht="16.5" customHeight="1" s="174">
      <c r="A55" s="110" t="inlineStr">
        <is>
          <t>1. This quotation is valid only for 15 days from the date of issuance.</t>
        </is>
      </c>
      <c r="F55" s="111" t="n"/>
      <c r="G55" s="71" t="n"/>
      <c r="H55" s="112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2.75" customHeight="1" s="174">
      <c r="A56" s="211" t="inlineStr">
        <is>
          <t>2.The details of the estimate provided above are based on our first inspection and do not constitute a guarantee that no further work/parts will be required. The total bill of work will be per the details available on completion of work. Other terms and conditions as applicable.</t>
        </is>
      </c>
      <c r="H56" s="212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7.25" customHeight="1" s="174">
      <c r="A57" s="213" t="n"/>
      <c r="H57" s="212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32.25" customHeight="1" s="174">
      <c r="A58" s="211" t="inlineStr">
        <is>
          <t>3. Under certain circumstances, Hontech shall not be responsible for any loss or damage to the vehicle including article/s left therein while it is in the premise. Failure to claim your vehicle within the prescribed period shall bear a corresponding storage fee.</t>
        </is>
      </c>
      <c r="H58" s="212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24.75" customHeight="1" s="174">
      <c r="A59" s="211" t="inlineStr">
        <is>
          <t>4. To avail of the warranty given for material, parts, and service, owner supplied is discouraged, otherwise a surcharge of 25% of the price of item/s is automatically applied. The price of the item/s shall be the current price of Hontech Auto Center, Inc.</t>
        </is>
      </c>
      <c r="H59" s="212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8.75" customHeight="1" s="174">
      <c r="A60" s="214" t="n"/>
      <c r="B60" s="215" t="n"/>
      <c r="C60" s="215" t="n"/>
      <c r="D60" s="215" t="n"/>
      <c r="E60" s="215" t="n"/>
      <c r="F60" s="215" t="n"/>
      <c r="G60" s="215" t="n"/>
      <c r="H60" s="216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74">
      <c r="A61" s="122" t="inlineStr">
        <is>
          <t>Prepared by:</t>
        </is>
      </c>
      <c r="B61" s="71" t="n"/>
      <c r="C61" s="71" t="n"/>
      <c r="D61" s="71" t="n"/>
      <c r="E61" s="71" t="n"/>
      <c r="F61" s="124" t="inlineStr">
        <is>
          <t>Approved by:</t>
        </is>
      </c>
      <c r="G61" s="71" t="n"/>
      <c r="H61" s="7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36.75" customHeight="1" s="174">
      <c r="A62" s="126" t="n"/>
      <c r="B62" s="184" t="n"/>
      <c r="C62" s="184" t="n"/>
      <c r="D62" s="71" t="n"/>
      <c r="E62" s="71" t="n"/>
      <c r="F62" s="126" t="n"/>
      <c r="G62" s="184" t="n"/>
      <c r="H62" s="184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75" customHeight="1" s="174">
      <c r="A63" s="128" t="inlineStr">
        <is>
          <t>SERVICE ADVISOR</t>
        </is>
      </c>
      <c r="B63" s="186" t="n"/>
      <c r="C63" s="186" t="n"/>
      <c r="D63" s="129" t="n"/>
      <c r="E63" s="129" t="n"/>
      <c r="F63" s="128" t="inlineStr">
        <is>
          <t>GENERAL MANAGER / AUTHORIZED OFFICER</t>
        </is>
      </c>
      <c r="G63" s="186" t="n"/>
      <c r="H63" s="186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24" customHeight="1" s="174">
      <c r="A64" s="217" t="inlineStr">
        <is>
          <t>I hereby authorize the above repair work listed in accordance with our agreed discussion or with my authorized representative.</t>
        </is>
      </c>
      <c r="H64" s="212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29.25" customHeight="1" s="174">
      <c r="A65" s="132" t="n"/>
      <c r="B65" s="132" t="n"/>
      <c r="C65" s="134">
        <f>B10</f>
        <v/>
      </c>
      <c r="D65" s="184" t="n"/>
      <c r="E65" s="184" t="n"/>
      <c r="F65" s="184" t="n"/>
      <c r="G65" s="132" t="n"/>
      <c r="H65" s="132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174">
      <c r="A66" s="135" t="inlineStr">
        <is>
          <t>Customer Name and Signature</t>
        </is>
      </c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37.5" customHeight="1" s="174">
      <c r="A67" s="136" t="inlineStr">
        <is>
          <t>THANK YOU FOR TRUSTING HONTECH AUTO CENTER, INC!</t>
        </is>
      </c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27.75" customHeight="1" s="174"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174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174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174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74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74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74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74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74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74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74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74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74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74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7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7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7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7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7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7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7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7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7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7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7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7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7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7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7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7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7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7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7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7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7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7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7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7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7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7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7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7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7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7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7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7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7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7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7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7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7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7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7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7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7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7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7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7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7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7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7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7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7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7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7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7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7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7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7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7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7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7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7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7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7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7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7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7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7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7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7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7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7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7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7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7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7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7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7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7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7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7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7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7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7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7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7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7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7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7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7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7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7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7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7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7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7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7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7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7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7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7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7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7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7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7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7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7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7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7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7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7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7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7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7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7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7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7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7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7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7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7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7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7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7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7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7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7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7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7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7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7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7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7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7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7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7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7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7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7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7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7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7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7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7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7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7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7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7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7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7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7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7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7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7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7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7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7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7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7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7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7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7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7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7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7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7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7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7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7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7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7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7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7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7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7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7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7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7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7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7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7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7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7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7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7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7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7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7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7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7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7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7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7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7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7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7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7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7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7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7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7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7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7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7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7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7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7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7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7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7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7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7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7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7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7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7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7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7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7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7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7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7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7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7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7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7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7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7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7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7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7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7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7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7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7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7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7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7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7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7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7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7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7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7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7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7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7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7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7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7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7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7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7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7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7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7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7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7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7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7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7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7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7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7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7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7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7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7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7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7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7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7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7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7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7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7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74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74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74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74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74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74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7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74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74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74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74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74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74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74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74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74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74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74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74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74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74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74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74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74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74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7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74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74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74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74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74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74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74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74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74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7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74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74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74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74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74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74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74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74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74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7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74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74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74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74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74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74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74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74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74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7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74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74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74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74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74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74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74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74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74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7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74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74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74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74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74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74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74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74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74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7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74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74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74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74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74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74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74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74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74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7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74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74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74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74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74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74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74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74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74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7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74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74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74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74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74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74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74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74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74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7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74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74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74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74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74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74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74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74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74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74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74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74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74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74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74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74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74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74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7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74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74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74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74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74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74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74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74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74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7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74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74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74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74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74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74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74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74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74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7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74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74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74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74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74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74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74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74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74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7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74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74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74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74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74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74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74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74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74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7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74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74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74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74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74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74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74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74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74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7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74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74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74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74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74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74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74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74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74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7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74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74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74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74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74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74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74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74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74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7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74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74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74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74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74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74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74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74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74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7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74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74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74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74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74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74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74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74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74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74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74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74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74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74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74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74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74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74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7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74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74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74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74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74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74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74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74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74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7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74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74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74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74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74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74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74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74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74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7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74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74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74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74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74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74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74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74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74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7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74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74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74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74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74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74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74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74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74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7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74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74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74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74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74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74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74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74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74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7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74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74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74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74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74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74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74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74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74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7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74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74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74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74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74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74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74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74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74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7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74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74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74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74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74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74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74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74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74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7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74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74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74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74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74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74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74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74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74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74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74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74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74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74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74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74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74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74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7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74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74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74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74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74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74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74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74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74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7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74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74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74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74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74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74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74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74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74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7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74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74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74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74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74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74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74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74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74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7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74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74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74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74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74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74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74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74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74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7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74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74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74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74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74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74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74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74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74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7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74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74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74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74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74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74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74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74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74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7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74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74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74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74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74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74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74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74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74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7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74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74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74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74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74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74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74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74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74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7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74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74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74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74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74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74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74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74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74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74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74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74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74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74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74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74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74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74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7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74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74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74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74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74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74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74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74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74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7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74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74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74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74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74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74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74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74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74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7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74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74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74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74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74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74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74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74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74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7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74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74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74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74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74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74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74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74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74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7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74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74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74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74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74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74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74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74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74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7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74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74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74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74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74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74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74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74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74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7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74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74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74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74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74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74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74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74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74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7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74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74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74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74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74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74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74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74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74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7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74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74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74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74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74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74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74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74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74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74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74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74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74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74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74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74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74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74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7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74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74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74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74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74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74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74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74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74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7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74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74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74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74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74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74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74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74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74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7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74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74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74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74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74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74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74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74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74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7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74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74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74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74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74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74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74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74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74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7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74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74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74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74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74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74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74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74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74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7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74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74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74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74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74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74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74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74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74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7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74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74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74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74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74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74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74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74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74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7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74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74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74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74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74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74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74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74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74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7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74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74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74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74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74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74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74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74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74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74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74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74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74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74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74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74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74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74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7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74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74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74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74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74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74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74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74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74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7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74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74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74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74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74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74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3">
    <mergeCell ref="A9:H9"/>
    <mergeCell ref="A24:B24"/>
    <mergeCell ref="G12:H12"/>
    <mergeCell ref="A30:B30"/>
    <mergeCell ref="A15:B15"/>
    <mergeCell ref="A56:H57"/>
    <mergeCell ref="A59:H59"/>
    <mergeCell ref="G11:H11"/>
    <mergeCell ref="A64:H64"/>
    <mergeCell ref="A60:H60"/>
    <mergeCell ref="A36:B36"/>
    <mergeCell ref="F62:H62"/>
    <mergeCell ref="A16:B16"/>
    <mergeCell ref="A25:B25"/>
    <mergeCell ref="A41:B41"/>
    <mergeCell ref="G10:H10"/>
    <mergeCell ref="A54:H54"/>
    <mergeCell ref="A37:B37"/>
    <mergeCell ref="A62:C62"/>
    <mergeCell ref="A66:H66"/>
    <mergeCell ref="A18:B18"/>
    <mergeCell ref="A27:B27"/>
    <mergeCell ref="A3:B3"/>
    <mergeCell ref="A26:B26"/>
    <mergeCell ref="A21:B21"/>
    <mergeCell ref="A55:E55"/>
    <mergeCell ref="A63:C63"/>
    <mergeCell ref="B12:E12"/>
    <mergeCell ref="A33:B33"/>
    <mergeCell ref="A42:B42"/>
    <mergeCell ref="A32:B32"/>
    <mergeCell ref="B11:E11"/>
    <mergeCell ref="A14:B14"/>
    <mergeCell ref="A67:H68"/>
    <mergeCell ref="C65:F65"/>
    <mergeCell ref="A23:B23"/>
    <mergeCell ref="A17:B17"/>
    <mergeCell ref="A22:B22"/>
    <mergeCell ref="A35:B35"/>
    <mergeCell ref="F63:H63"/>
    <mergeCell ref="A20:B20"/>
    <mergeCell ref="A38:B38"/>
    <mergeCell ref="A29:B29"/>
    <mergeCell ref="A43:B43"/>
    <mergeCell ref="A19:B19"/>
    <mergeCell ref="A28:B28"/>
    <mergeCell ref="A44:B44"/>
    <mergeCell ref="A39:B39"/>
    <mergeCell ref="A40:B40"/>
    <mergeCell ref="B10:E10"/>
    <mergeCell ref="A31:B31"/>
    <mergeCell ref="A58:H58"/>
    <mergeCell ref="A34:B34"/>
  </mergeCells>
  <printOptions horizontalCentered="1"/>
  <pageMargins left="0.1710562041813739" right="0.2850936736356232" top="0.418137387998914" bottom="0.4561498778169971" header="0" footer="0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12.71" customWidth="1" style="174" min="1" max="1"/>
    <col width="19.57" customWidth="1" style="174" min="2" max="2"/>
    <col width="8" customWidth="1" style="174" min="3" max="3"/>
    <col width="10.29" customWidth="1" style="174" min="4" max="4"/>
    <col width="15" customWidth="1" style="174" min="5" max="5"/>
    <col width="17" customWidth="1" style="174" min="6" max="6"/>
    <col width="15.71" customWidth="1" style="174" min="7" max="7"/>
    <col width="17" customWidth="1" style="174" min="8" max="8"/>
    <col width="9" customWidth="1" style="174" min="9" max="26"/>
  </cols>
  <sheetData>
    <row r="1" ht="12.75" customHeight="1" s="174">
      <c r="A1" s="1" t="n"/>
      <c r="B1" s="1" t="n"/>
      <c r="C1" s="1" t="n"/>
      <c r="D1" s="1" t="n"/>
      <c r="E1" s="1" t="n"/>
      <c r="F1" s="1" t="n"/>
      <c r="G1" s="1" t="n"/>
      <c r="H1" s="2" t="inlineStr">
        <is>
          <t>Form 2/3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40.5" customHeight="1" s="174">
      <c r="A2" s="1" t="n"/>
      <c r="B2" s="1" t="n"/>
      <c r="C2" s="3" t="n"/>
      <c r="D2" s="3" t="n"/>
      <c r="E2" s="1" t="n"/>
      <c r="F2" s="1" t="n"/>
      <c r="G2" s="4" t="inlineStr">
        <is>
          <t>QUOTATION NO.</t>
        </is>
      </c>
      <c r="H2" s="5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2" customHeight="1" s="174">
      <c r="A3" s="6" t="inlineStr">
        <is>
          <t>"Building Trust"</t>
        </is>
      </c>
      <c r="C3" s="3" t="n"/>
      <c r="D3" s="3" t="n"/>
      <c r="E3" s="1" t="n"/>
      <c r="F3" s="1" t="n"/>
      <c r="G3" s="4" t="n"/>
      <c r="H3" s="8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" customHeight="1" s="174">
      <c r="A4" s="10" t="inlineStr">
        <is>
          <t>Hontech Auto Center</t>
        </is>
      </c>
      <c r="B4" s="10" t="n"/>
      <c r="C4" s="3" t="n"/>
      <c r="D4" s="3" t="n"/>
      <c r="E4" s="1" t="n"/>
      <c r="F4" s="1" t="n"/>
      <c r="G4" s="1" t="n"/>
      <c r="H4" s="1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75" customHeight="1" s="174">
      <c r="A5" s="12" t="inlineStr">
        <is>
          <t>70 Bayan Bayanan Ave cor Narra St.</t>
        </is>
      </c>
      <c r="B5" s="13" t="n"/>
      <c r="C5" s="13" t="n"/>
      <c r="D5" s="1" t="n"/>
      <c r="E5" s="1" t="n"/>
      <c r="F5" s="1" t="n"/>
      <c r="G5" s="15" t="inlineStr">
        <is>
          <t>DATE:</t>
        </is>
      </c>
      <c r="H5" s="16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75" customHeight="1" s="174">
      <c r="A6" s="13" t="inlineStr">
        <is>
          <t>Marikina Heights, Marikina City</t>
        </is>
      </c>
      <c r="B6" s="13" t="n"/>
      <c r="C6" s="13" t="n"/>
      <c r="D6" s="1" t="n"/>
      <c r="E6" s="1" t="n"/>
      <c r="F6" s="1" t="n"/>
      <c r="G6" s="15" t="inlineStr">
        <is>
          <t>JOB ORDER NO.:</t>
        </is>
      </c>
      <c r="H6" s="16">
        <f>Job_Order!K2</f>
        <v/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174">
      <c r="A7" s="13" t="inlineStr">
        <is>
          <t>fb.com/hontechautocenter</t>
        </is>
      </c>
      <c r="B7" s="13" t="n"/>
      <c r="C7" s="13" t="n"/>
      <c r="D7" s="1" t="n"/>
      <c r="E7" s="1" t="n"/>
      <c r="F7" s="1" t="n"/>
      <c r="G7" s="15" t="inlineStr">
        <is>
          <t>PROMISED DATE:</t>
        </is>
      </c>
      <c r="H7" s="16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174">
      <c r="A8" s="13">
        <f>Job_Order!B8</f>
        <v/>
      </c>
      <c r="B8" s="13" t="n"/>
      <c r="C8" s="13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174">
      <c r="A9" s="200" t="inlineStr">
        <is>
          <t>CUSTOMER DETAILS</t>
        </is>
      </c>
      <c r="B9" s="186" t="n"/>
      <c r="C9" s="186" t="n"/>
      <c r="D9" s="186" t="n"/>
      <c r="E9" s="186" t="n"/>
      <c r="F9" s="186" t="n"/>
      <c r="G9" s="186" t="n"/>
      <c r="H9" s="20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174">
      <c r="A10" s="29" t="inlineStr">
        <is>
          <t>Name:</t>
        </is>
      </c>
      <c r="B10" s="33">
        <f>Job_Order!C10</f>
        <v/>
      </c>
      <c r="C10" s="202" t="n"/>
      <c r="D10" s="202" t="n"/>
      <c r="E10" s="202" t="n"/>
      <c r="F10" s="36" t="inlineStr">
        <is>
          <t>Plate No:</t>
        </is>
      </c>
      <c r="G10" s="203">
        <f>Job_Order!K10</f>
        <v/>
      </c>
      <c r="H10" s="204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174">
      <c r="A11" s="41" t="inlineStr">
        <is>
          <t>Address:</t>
        </is>
      </c>
      <c r="B11" s="33">
        <f>Job_Order!C11</f>
        <v/>
      </c>
      <c r="C11" s="202" t="n"/>
      <c r="D11" s="202" t="n"/>
      <c r="E11" s="202" t="n"/>
      <c r="F11" s="13" t="inlineStr">
        <is>
          <t>Year/Model:</t>
        </is>
      </c>
      <c r="G11" s="203">
        <f>Job_Order!H10</f>
        <v/>
      </c>
      <c r="H11" s="204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174">
      <c r="A12" s="41" t="inlineStr">
        <is>
          <t>Contact No:</t>
        </is>
      </c>
      <c r="B12" s="33">
        <f>Job_Order!C12</f>
        <v/>
      </c>
      <c r="C12" s="202" t="n"/>
      <c r="D12" s="202" t="n"/>
      <c r="E12" s="202" t="n"/>
      <c r="F12" s="13" t="inlineStr">
        <is>
          <t>Color:</t>
        </is>
      </c>
      <c r="G12" s="203">
        <f>Job_Order!K13</f>
        <v/>
      </c>
      <c r="H12" s="204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174">
      <c r="A13" s="51" t="n"/>
      <c r="B13" s="13" t="n"/>
      <c r="C13" s="13" t="n"/>
      <c r="D13" s="1" t="n"/>
      <c r="E13" s="1" t="n"/>
      <c r="F13" s="9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2.75" customHeight="1" s="174">
      <c r="A14" s="56" t="inlineStr">
        <is>
          <t>PARTS/MATERIAL</t>
        </is>
      </c>
      <c r="B14" s="181" t="n"/>
      <c r="C14" s="56" t="inlineStr">
        <is>
          <t>QTY</t>
        </is>
      </c>
      <c r="D14" s="57" t="inlineStr">
        <is>
          <t>FRT</t>
        </is>
      </c>
      <c r="E14" s="57" t="inlineStr">
        <is>
          <t>LABOR</t>
        </is>
      </c>
      <c r="F14" s="56" t="inlineStr">
        <is>
          <t>PARTS</t>
        </is>
      </c>
      <c r="G14" s="56" t="inlineStr">
        <is>
          <t>MATERALS</t>
        </is>
      </c>
      <c r="H14" s="56" t="inlineStr">
        <is>
          <t>AMOUNT</t>
        </is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174">
      <c r="A15" s="205" t="n"/>
      <c r="B15" s="181" t="n"/>
      <c r="C15" s="63" t="n"/>
      <c r="D15" s="65" t="n"/>
      <c r="E15" s="65">
        <f>D15*550</f>
        <v/>
      </c>
      <c r="F15" s="65" t="n"/>
      <c r="G15" s="65" t="n"/>
      <c r="H15" s="72">
        <f>E15+F15+G15</f>
        <v/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3.5" customHeight="1" s="174">
      <c r="A16" s="206" t="n"/>
      <c r="B16" s="181" t="n"/>
      <c r="C16" s="63" t="n"/>
      <c r="D16" s="72" t="n"/>
      <c r="E16" s="65">
        <f>D16*550</f>
        <v/>
      </c>
      <c r="F16" s="72" t="n"/>
      <c r="G16" s="72" t="n"/>
      <c r="H16" s="72">
        <f>E16+F16+G16</f>
        <v/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1.25" customHeight="1" s="174">
      <c r="A17" s="206" t="n"/>
      <c r="B17" s="181" t="n"/>
      <c r="C17" s="63" t="n"/>
      <c r="D17" s="72" t="n"/>
      <c r="E17" s="65">
        <f>D17*550</f>
        <v/>
      </c>
      <c r="F17" s="72" t="n"/>
      <c r="G17" s="72" t="n"/>
      <c r="H17" s="72">
        <f>E17+F17+G17</f>
        <v/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174">
      <c r="A18" s="206" t="n"/>
      <c r="B18" s="181" t="n"/>
      <c r="C18" s="63" t="n"/>
      <c r="D18" s="72" t="n"/>
      <c r="E18" s="65">
        <f>D18*550</f>
        <v/>
      </c>
      <c r="F18" s="72" t="n"/>
      <c r="G18" s="72" t="n"/>
      <c r="H18" s="72">
        <f>E18+F18+G18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" customHeight="1" s="174">
      <c r="A19" s="206" t="n"/>
      <c r="B19" s="181" t="n"/>
      <c r="C19" s="63" t="n"/>
      <c r="D19" s="72" t="n"/>
      <c r="E19" s="65">
        <f>D19*550</f>
        <v/>
      </c>
      <c r="F19" s="72" t="n"/>
      <c r="G19" s="72" t="n"/>
      <c r="H19" s="72">
        <f>E19+F19+G19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174">
      <c r="A20" s="205" t="n"/>
      <c r="B20" s="181" t="n"/>
      <c r="C20" s="63" t="n"/>
      <c r="D20" s="65" t="n"/>
      <c r="E20" s="65">
        <f>D20*550</f>
        <v/>
      </c>
      <c r="F20" s="65" t="n"/>
      <c r="G20" s="65" t="n"/>
      <c r="H20" s="72">
        <f>E20+F20+G20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174">
      <c r="A21" s="205" t="n"/>
      <c r="B21" s="181" t="n"/>
      <c r="C21" s="63" t="n"/>
      <c r="D21" s="65" t="n"/>
      <c r="E21" s="65">
        <f>D21*550</f>
        <v/>
      </c>
      <c r="F21" s="65" t="n"/>
      <c r="G21" s="65" t="n"/>
      <c r="H21" s="65">
        <f>E21+F21+G21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174">
      <c r="A22" s="206" t="n"/>
      <c r="B22" s="181" t="n"/>
      <c r="C22" s="63" t="n"/>
      <c r="D22" s="72" t="n"/>
      <c r="E22" s="65">
        <f>D22*550</f>
        <v/>
      </c>
      <c r="F22" s="72" t="n"/>
      <c r="G22" s="72" t="n"/>
      <c r="H22" s="72">
        <f>E22+F22+G22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" customHeight="1" s="174">
      <c r="A23" s="206" t="n"/>
      <c r="B23" s="181" t="n"/>
      <c r="C23" s="63" t="n"/>
      <c r="D23" s="72" t="n"/>
      <c r="E23" s="65">
        <f>D23*550</f>
        <v/>
      </c>
      <c r="F23" s="72" t="n"/>
      <c r="G23" s="72" t="n"/>
      <c r="H23" s="72">
        <f>E23+F23+G23</f>
        <v/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174">
      <c r="A24" s="205" t="n"/>
      <c r="B24" s="181" t="n"/>
      <c r="C24" s="63" t="n"/>
      <c r="D24" s="65" t="n"/>
      <c r="E24" s="65">
        <f>D24*550</f>
        <v/>
      </c>
      <c r="F24" s="65" t="n"/>
      <c r="G24" s="65" t="n"/>
      <c r="H24" s="65">
        <f>E24+F24+G24</f>
        <v/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" customHeight="1" s="174">
      <c r="A25" s="206" t="n"/>
      <c r="B25" s="181" t="n"/>
      <c r="C25" s="63" t="n"/>
      <c r="D25" s="72" t="n"/>
      <c r="E25" s="65">
        <f>D25*550</f>
        <v/>
      </c>
      <c r="F25" s="72" t="n"/>
      <c r="G25" s="72" t="n"/>
      <c r="H25" s="72">
        <f>E25+F25+G25</f>
        <v/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" customHeight="1" s="174">
      <c r="A26" s="206" t="n"/>
      <c r="B26" s="181" t="n"/>
      <c r="C26" s="63" t="n"/>
      <c r="D26" s="72" t="n"/>
      <c r="E26" s="65">
        <f>D26*550</f>
        <v/>
      </c>
      <c r="F26" s="65" t="n"/>
      <c r="G26" s="65" t="n"/>
      <c r="H26" s="72">
        <f>E26+F26+G26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174">
      <c r="A27" s="205" t="n"/>
      <c r="B27" s="181" t="n"/>
      <c r="C27" s="63" t="n"/>
      <c r="D27" s="65" t="n"/>
      <c r="E27" s="65">
        <f>D27*550</f>
        <v/>
      </c>
      <c r="F27" s="65" t="n"/>
      <c r="G27" s="65" t="n"/>
      <c r="H27" s="65">
        <f>E27+F27+G27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174">
      <c r="A28" s="205" t="n"/>
      <c r="B28" s="181" t="n"/>
      <c r="C28" s="92" t="n"/>
      <c r="D28" s="65" t="n"/>
      <c r="E28" s="65">
        <f>D28*550</f>
        <v/>
      </c>
      <c r="F28" s="65" t="n"/>
      <c r="G28" s="65" t="n"/>
      <c r="H28" s="65">
        <f>E28+F28+G28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174">
      <c r="A29" s="205" t="n"/>
      <c r="B29" s="181" t="n"/>
      <c r="C29" s="92" t="n"/>
      <c r="D29" s="65" t="n"/>
      <c r="E29" s="65">
        <f>D29*550</f>
        <v/>
      </c>
      <c r="F29" s="65" t="n"/>
      <c r="G29" s="65" t="n"/>
      <c r="H29" s="65">
        <f>E29+F29+G29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174">
      <c r="A30" s="207" t="n"/>
      <c r="B30" s="181" t="n"/>
      <c r="C30" s="63" t="n"/>
      <c r="D30" s="65" t="n"/>
      <c r="E30" s="65">
        <f>D30*550</f>
        <v/>
      </c>
      <c r="F30" s="65" t="n"/>
      <c r="G30" s="65" t="n"/>
      <c r="H30" s="72">
        <f>E30+F30+G30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174">
      <c r="A31" s="205" t="n"/>
      <c r="B31" s="181" t="n"/>
      <c r="C31" s="63" t="n"/>
      <c r="D31" s="65" t="n"/>
      <c r="E31" s="65">
        <f>D31*550</f>
        <v/>
      </c>
      <c r="F31" s="65" t="n"/>
      <c r="G31" s="65" t="n"/>
      <c r="H31" s="65">
        <f>E31+F31+G31</f>
        <v/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174">
      <c r="A32" s="205" t="n"/>
      <c r="B32" s="181" t="n"/>
      <c r="C32" s="92" t="n"/>
      <c r="D32" s="65" t="n"/>
      <c r="E32" s="65">
        <f>D32*550</f>
        <v/>
      </c>
      <c r="F32" s="65" t="n"/>
      <c r="G32" s="65" t="n"/>
      <c r="H32" s="65">
        <f>E32+F32+G32</f>
        <v/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174">
      <c r="A33" s="205" t="n"/>
      <c r="B33" s="181" t="n"/>
      <c r="C33" s="92" t="n"/>
      <c r="D33" s="65" t="n"/>
      <c r="E33" s="65">
        <f>D33*550</f>
        <v/>
      </c>
      <c r="F33" s="65" t="n"/>
      <c r="G33" s="65" t="n"/>
      <c r="H33" s="65">
        <f>E33+F33+G33</f>
        <v/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174">
      <c r="A34" s="205" t="n"/>
      <c r="B34" s="181" t="n"/>
      <c r="C34" s="92" t="n"/>
      <c r="D34" s="65" t="n"/>
      <c r="E34" s="65">
        <f>D34*550</f>
        <v/>
      </c>
      <c r="F34" s="65" t="n"/>
      <c r="G34" s="65" t="n"/>
      <c r="H34" s="65">
        <f>E34+F34+G34</f>
        <v/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174">
      <c r="A35" s="205" t="n"/>
      <c r="B35" s="181" t="n"/>
      <c r="C35" s="63" t="n"/>
      <c r="D35" s="65" t="n"/>
      <c r="E35" s="65">
        <f>D35*550</f>
        <v/>
      </c>
      <c r="F35" s="65" t="n"/>
      <c r="G35" s="65" t="n"/>
      <c r="H35" s="65">
        <f>E35+F35+G35</f>
        <v/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174">
      <c r="A36" s="205" t="n"/>
      <c r="B36" s="181" t="n"/>
      <c r="C36" s="63" t="n"/>
      <c r="D36" s="65" t="n"/>
      <c r="E36" s="65">
        <f>D36*550</f>
        <v/>
      </c>
      <c r="F36" s="65" t="n"/>
      <c r="G36" s="65" t="n"/>
      <c r="H36" s="65">
        <f>E36+F36+G36</f>
        <v/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174">
      <c r="A37" s="205" t="n"/>
      <c r="B37" s="181" t="n"/>
      <c r="C37" s="63" t="n"/>
      <c r="D37" s="65" t="n"/>
      <c r="E37" s="65">
        <f>D37*550</f>
        <v/>
      </c>
      <c r="F37" s="65" t="n"/>
      <c r="G37" s="65" t="n"/>
      <c r="H37" s="65">
        <f>E37+F37+G37</f>
        <v/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174">
      <c r="A38" s="205" t="n"/>
      <c r="B38" s="181" t="n"/>
      <c r="C38" s="63" t="n"/>
      <c r="D38" s="65" t="n"/>
      <c r="E38" s="65">
        <f>D38*550</f>
        <v/>
      </c>
      <c r="F38" s="65" t="n"/>
      <c r="G38" s="65" t="n"/>
      <c r="H38" s="65">
        <f>E38+F38+G38</f>
        <v/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174">
      <c r="A39" s="205" t="n"/>
      <c r="B39" s="181" t="n"/>
      <c r="C39" s="63" t="n"/>
      <c r="D39" s="65" t="n"/>
      <c r="E39" s="65">
        <f>D39*550</f>
        <v/>
      </c>
      <c r="F39" s="65" t="n"/>
      <c r="G39" s="65" t="n"/>
      <c r="H39" s="65">
        <f>E39+F39+G39</f>
        <v/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174">
      <c r="A40" s="205" t="n"/>
      <c r="B40" s="181" t="n"/>
      <c r="C40" s="63" t="n"/>
      <c r="D40" s="65" t="n"/>
      <c r="E40" s="65">
        <f>D40*550</f>
        <v/>
      </c>
      <c r="F40" s="65" t="n"/>
      <c r="G40" s="65" t="n"/>
      <c r="H40" s="65">
        <f>E40+F40+G40</f>
        <v/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174">
      <c r="A41" s="205" t="n"/>
      <c r="B41" s="181" t="n"/>
      <c r="C41" s="63" t="n"/>
      <c r="D41" s="65" t="n"/>
      <c r="E41" s="65">
        <f>D41*550</f>
        <v/>
      </c>
      <c r="F41" s="65" t="n"/>
      <c r="G41" s="65" t="n"/>
      <c r="H41" s="65">
        <f>E41+F41+G41</f>
        <v/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174">
      <c r="A42" s="205" t="n"/>
      <c r="B42" s="181" t="n"/>
      <c r="C42" s="63" t="n"/>
      <c r="D42" s="65" t="n"/>
      <c r="E42" s="65">
        <f>D42*550</f>
        <v/>
      </c>
      <c r="F42" s="65" t="n"/>
      <c r="G42" s="65" t="n"/>
      <c r="H42" s="65">
        <f>E42+F42+G42</f>
        <v/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74">
      <c r="A43" s="205" t="n"/>
      <c r="B43" s="181" t="n"/>
      <c r="C43" s="63" t="n"/>
      <c r="D43" s="65" t="n"/>
      <c r="E43" s="65">
        <f>D43*550</f>
        <v/>
      </c>
      <c r="F43" s="65" t="n"/>
      <c r="G43" s="65" t="n"/>
      <c r="H43" s="65">
        <f>E43+F43+G43</f>
        <v/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174">
      <c r="A44" s="205" t="n"/>
      <c r="B44" s="181" t="n"/>
      <c r="C44" s="63" t="n"/>
      <c r="D44" s="65" t="n"/>
      <c r="E44" s="65">
        <f>D44*550</f>
        <v/>
      </c>
      <c r="F44" s="65" t="n"/>
      <c r="G44" s="65" t="n"/>
      <c r="H44" s="65">
        <f>E44+F44+G44</f>
        <v/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174">
      <c r="A45" s="1" t="n"/>
      <c r="B45" s="1" t="n"/>
      <c r="C45" s="1" t="n"/>
      <c r="D45" s="1" t="n"/>
      <c r="E45" s="94" t="n"/>
      <c r="F45" s="1" t="n"/>
      <c r="G45" s="1" t="inlineStr">
        <is>
          <t>LABOR</t>
        </is>
      </c>
      <c r="H45" s="90">
        <f>SUM(E15:E44)</f>
        <v/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174">
      <c r="A46" s="1" t="n"/>
      <c r="B46" s="1" t="n"/>
      <c r="C46" s="1" t="n"/>
      <c r="D46" s="1" t="n"/>
      <c r="E46" s="94" t="n"/>
      <c r="F46" s="1" t="n"/>
      <c r="G46" s="1" t="inlineStr">
        <is>
          <t>VAT 12%</t>
        </is>
      </c>
      <c r="H46" s="90">
        <f>(H45*12%)</f>
        <v/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174">
      <c r="A47" s="1" t="n"/>
      <c r="B47" s="1" t="n"/>
      <c r="C47" s="1" t="n"/>
      <c r="D47" s="1" t="n"/>
      <c r="E47" s="1" t="n"/>
      <c r="F47" s="1" t="n"/>
      <c r="G47" s="1" t="inlineStr">
        <is>
          <t>MATERIALS</t>
        </is>
      </c>
      <c r="H47" s="90">
        <f>SUM(G15:G44)</f>
        <v/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174">
      <c r="A48" s="1" t="n"/>
      <c r="B48" s="1" t="n"/>
      <c r="C48" s="1" t="n"/>
      <c r="D48" s="1" t="n"/>
      <c r="E48" s="1" t="n"/>
      <c r="F48" s="1" t="n"/>
      <c r="G48" s="1" t="inlineStr">
        <is>
          <t>PARTS</t>
        </is>
      </c>
      <c r="H48" s="90">
        <f>SUM(F15:F44)</f>
        <v/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174">
      <c r="A49" s="1" t="n"/>
      <c r="B49" s="1" t="n"/>
      <c r="C49" s="1" t="n"/>
      <c r="D49" s="1" t="n"/>
      <c r="E49" s="1" t="n"/>
      <c r="F49" s="1" t="n"/>
      <c r="G49" s="95" t="inlineStr">
        <is>
          <t>TOTAL</t>
        </is>
      </c>
      <c r="H49" s="97">
        <f>SUM(H45:H48)</f>
        <v/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174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17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17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idden="1" ht="12.75" customHeight="1" s="17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33" customHeight="1" s="174">
      <c r="A54" s="208" t="inlineStr">
        <is>
          <t>TERMS &amp; CONDITIONS</t>
        </is>
      </c>
      <c r="B54" s="209" t="n"/>
      <c r="C54" s="209" t="n"/>
      <c r="D54" s="209" t="n"/>
      <c r="E54" s="209" t="n"/>
      <c r="F54" s="209" t="n"/>
      <c r="G54" s="209" t="n"/>
      <c r="H54" s="210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</row>
    <row r="55" ht="16.5" customHeight="1" s="174">
      <c r="A55" s="110" t="inlineStr">
        <is>
          <t>1. This quotation is valid only for 15 days from the date of issuance.</t>
        </is>
      </c>
      <c r="F55" s="111" t="n"/>
      <c r="G55" s="71" t="n"/>
      <c r="H55" s="112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2.75" customHeight="1" s="174">
      <c r="A56" s="211" t="inlineStr">
        <is>
          <t>2.The details of the estimate provided above are based on our first inspection and do not constitute a guarantee that no further work/parts will be required. The total bill of work will be per the details available on completion of work. Other terms and conditions as applicable.</t>
        </is>
      </c>
      <c r="H56" s="212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7.25" customHeight="1" s="174">
      <c r="A57" s="213" t="n"/>
      <c r="H57" s="212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32.25" customHeight="1" s="174">
      <c r="A58" s="211" t="inlineStr">
        <is>
          <t>3. Under certain circumstances, Hontech shall not be responsible for any loss or damage to the vehicle including article/s left therein while it is in the premise. Failure to claim your vehicle within the prescribed period shall bear a corresponding storage fee.</t>
        </is>
      </c>
      <c r="H58" s="212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24.75" customHeight="1" s="174">
      <c r="A59" s="211" t="inlineStr">
        <is>
          <t>4. To avail of the warranty given for material, parts, and service, owner supplied is discouraged, otherwise a surcharge of 25% of the price of item/s is automatically applied. The price of the item/s shall be the current price of Hontech Auto Center, Inc.</t>
        </is>
      </c>
      <c r="H59" s="212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8.75" customHeight="1" s="174">
      <c r="A60" s="214" t="n"/>
      <c r="B60" s="215" t="n"/>
      <c r="C60" s="215" t="n"/>
      <c r="D60" s="215" t="n"/>
      <c r="E60" s="215" t="n"/>
      <c r="F60" s="215" t="n"/>
      <c r="G60" s="215" t="n"/>
      <c r="H60" s="216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74">
      <c r="A61" s="122" t="inlineStr">
        <is>
          <t>Prepared by:</t>
        </is>
      </c>
      <c r="B61" s="71" t="n"/>
      <c r="C61" s="71" t="n"/>
      <c r="D61" s="71" t="n"/>
      <c r="E61" s="71" t="n"/>
      <c r="F61" s="124" t="inlineStr">
        <is>
          <t>Approved by:</t>
        </is>
      </c>
      <c r="G61" s="71" t="n"/>
      <c r="H61" s="7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36.75" customHeight="1" s="174">
      <c r="A62" s="126" t="n"/>
      <c r="B62" s="184" t="n"/>
      <c r="C62" s="184" t="n"/>
      <c r="D62" s="71" t="n"/>
      <c r="E62" s="71" t="n"/>
      <c r="F62" s="126" t="n"/>
      <c r="G62" s="184" t="n"/>
      <c r="H62" s="184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75" customHeight="1" s="174">
      <c r="A63" s="128" t="inlineStr">
        <is>
          <t>SERVICE ADVISOR</t>
        </is>
      </c>
      <c r="B63" s="186" t="n"/>
      <c r="C63" s="186" t="n"/>
      <c r="D63" s="129" t="n"/>
      <c r="E63" s="129" t="n"/>
      <c r="F63" s="128" t="inlineStr">
        <is>
          <t>GENERAL MANAGER / AUTHORIZED OFFICER</t>
        </is>
      </c>
      <c r="G63" s="186" t="n"/>
      <c r="H63" s="186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24" customHeight="1" s="174">
      <c r="A64" s="217" t="inlineStr">
        <is>
          <t>I hereby authorize the above repair work listed in accordance with our agreed discussion or with my authorized representative.</t>
        </is>
      </c>
      <c r="H64" s="212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29.25" customHeight="1" s="174">
      <c r="A65" s="132" t="n"/>
      <c r="B65" s="132" t="n"/>
      <c r="C65" s="134">
        <f>B10</f>
        <v/>
      </c>
      <c r="D65" s="184" t="n"/>
      <c r="E65" s="184" t="n"/>
      <c r="F65" s="184" t="n"/>
      <c r="G65" s="132" t="n"/>
      <c r="H65" s="132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174">
      <c r="A66" s="135" t="inlineStr">
        <is>
          <t>Customer Name and Signature</t>
        </is>
      </c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37.5" customHeight="1" s="174">
      <c r="A67" s="136" t="inlineStr">
        <is>
          <t>THANK YOU FOR TRUSTING HONTECH AUTO CENTER, INC!</t>
        </is>
      </c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27.75" customHeight="1" s="174"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174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174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174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74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74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74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74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74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74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74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74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74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74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7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7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7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7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7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7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7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7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7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7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7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7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7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7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7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7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7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7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7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7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7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7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7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7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7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7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7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7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7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7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7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7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7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7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7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7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7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7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7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7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7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7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7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7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7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7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7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7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7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7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7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7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7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7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7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7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7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7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7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7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7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7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7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7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7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7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7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7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7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7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7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7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7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7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7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7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7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7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7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7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7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7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7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7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7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7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7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7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7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7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7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7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7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7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7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7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7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7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7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7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7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7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7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7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7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7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7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7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7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7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7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7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7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7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7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7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7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7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7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7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7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7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7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7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7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7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7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7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7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7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7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7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7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7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7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7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7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7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7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7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7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7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7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7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7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7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7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7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7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7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7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7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7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7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7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7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7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7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7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7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7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7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7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7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7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7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7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7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7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7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7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7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7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7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7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7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7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7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7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7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7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7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7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7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7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7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7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7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7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7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7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7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7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7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7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7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7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7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7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7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7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7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7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7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7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7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7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7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7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7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7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7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7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7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7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7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7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7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7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7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7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7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7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7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7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7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7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7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7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7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7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7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7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7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7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7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7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7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7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7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7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7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7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7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7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7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7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7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7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7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7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7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7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7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7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7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7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7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7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7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7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7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7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7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7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7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7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7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7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7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7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7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7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74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74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74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74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74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74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7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74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74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74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74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74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74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74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74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74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74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74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74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74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74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74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74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74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74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7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74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74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74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74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74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74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74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74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74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7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74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74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74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74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74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74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74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74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74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7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74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74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74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74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74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74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74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74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74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7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74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74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74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74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74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74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74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74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74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7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74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74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74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74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74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74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74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74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74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7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74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74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74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74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74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74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74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74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74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7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74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74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74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74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74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74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74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74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74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7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74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74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74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74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74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74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74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74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74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7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74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74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74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74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74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74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74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74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74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74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74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74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74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74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74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74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74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74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7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74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74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74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74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74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74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74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74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74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7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74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74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74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74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74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74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74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74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74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7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74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74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74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74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74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74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74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74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74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7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74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74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74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74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74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74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74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74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74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7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74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74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74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74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74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74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74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74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74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7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74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74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74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74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74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74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74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74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74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7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74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74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74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74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74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74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74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74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74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7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74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74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74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74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74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74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74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74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74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7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74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74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74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74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74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74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74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74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74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74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74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74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74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74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74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74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74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74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7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74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74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74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74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74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74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74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74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74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7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74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74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74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74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74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74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74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74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74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7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74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74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74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74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74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74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74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74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74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7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74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74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74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74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74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74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74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74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74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7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74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74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74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74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74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74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74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74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74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7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74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74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74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74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74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74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74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74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74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7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74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74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74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74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74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74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74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74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74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7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74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74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74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74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74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74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74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74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74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7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74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74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74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74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74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74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74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74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74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74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74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74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74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74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74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74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74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74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7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74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74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74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74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74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74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74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74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74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7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74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74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74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74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74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74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74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74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74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7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74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74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74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74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74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74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74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74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74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7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74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74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74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74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74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74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74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74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74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7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74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74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74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74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74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74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74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74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74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7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74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74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74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74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74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74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74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74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74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7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74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74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74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74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74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74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74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74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74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7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74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74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74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74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74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74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74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74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74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7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74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74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74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74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74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74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74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74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74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74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74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74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74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74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74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74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74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74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7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74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74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74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74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74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74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74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74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74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7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74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74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74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74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74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74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74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74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74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7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74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74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74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74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74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74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74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74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74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7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74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74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74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74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74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74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74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74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74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7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74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74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74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74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74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74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74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74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74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7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74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74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74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74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74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74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74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74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74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7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74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74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74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74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74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74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74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74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74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7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74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74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74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74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74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74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74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74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74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7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74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74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74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74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74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74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74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74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74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74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74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74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74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74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74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74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74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74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7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74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74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74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74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74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74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74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74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74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7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74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74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74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74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74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74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74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74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74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7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74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74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74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74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74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74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74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74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74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7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74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74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74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74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74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74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74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74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74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7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74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74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74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74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74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74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74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74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74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7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74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74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74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74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74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74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74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74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74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7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74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74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74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74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74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74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74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74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74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7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74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74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74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74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74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74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74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74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74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7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74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74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74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74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74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74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74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74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74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74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74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74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74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74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74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74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74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74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7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74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74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74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74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74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74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74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74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74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7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74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74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74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74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74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74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3">
    <mergeCell ref="A9:H9"/>
    <mergeCell ref="A24:B24"/>
    <mergeCell ref="G12:H12"/>
    <mergeCell ref="A30:B30"/>
    <mergeCell ref="A15:B15"/>
    <mergeCell ref="A56:H57"/>
    <mergeCell ref="A59:H59"/>
    <mergeCell ref="G11:H11"/>
    <mergeCell ref="A64:H64"/>
    <mergeCell ref="A60:H60"/>
    <mergeCell ref="A36:B36"/>
    <mergeCell ref="F62:H62"/>
    <mergeCell ref="A16:B16"/>
    <mergeCell ref="A25:B25"/>
    <mergeCell ref="A41:B41"/>
    <mergeCell ref="G10:H10"/>
    <mergeCell ref="A54:H54"/>
    <mergeCell ref="A37:B37"/>
    <mergeCell ref="A62:C62"/>
    <mergeCell ref="A66:H66"/>
    <mergeCell ref="A18:B18"/>
    <mergeCell ref="A27:B27"/>
    <mergeCell ref="A3:B3"/>
    <mergeCell ref="A26:B26"/>
    <mergeCell ref="A21:B21"/>
    <mergeCell ref="A55:E55"/>
    <mergeCell ref="A63:C63"/>
    <mergeCell ref="B12:E12"/>
    <mergeCell ref="A33:B33"/>
    <mergeCell ref="A42:B42"/>
    <mergeCell ref="A32:B32"/>
    <mergeCell ref="B11:E11"/>
    <mergeCell ref="A14:B14"/>
    <mergeCell ref="A67:H68"/>
    <mergeCell ref="C65:F65"/>
    <mergeCell ref="A23:B23"/>
    <mergeCell ref="A17:B17"/>
    <mergeCell ref="A22:B22"/>
    <mergeCell ref="A35:B35"/>
    <mergeCell ref="F63:H63"/>
    <mergeCell ref="A20:B20"/>
    <mergeCell ref="A38:B38"/>
    <mergeCell ref="A29:B29"/>
    <mergeCell ref="A43:B43"/>
    <mergeCell ref="A19:B19"/>
    <mergeCell ref="A28:B28"/>
    <mergeCell ref="A44:B44"/>
    <mergeCell ref="A39:B39"/>
    <mergeCell ref="A40:B40"/>
    <mergeCell ref="B10:E10"/>
    <mergeCell ref="A31:B31"/>
    <mergeCell ref="A58:H58"/>
    <mergeCell ref="A34:B34"/>
  </mergeCells>
  <printOptions horizontalCentered="1"/>
  <pageMargins left="0.1710562041813739" right="0.2850936736356232" top="0.418137387998914" bottom="0.4561498778169971" header="0" footer="0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12.71" customWidth="1" style="174" min="1" max="1"/>
    <col width="19.86" customWidth="1" style="174" min="2" max="2"/>
    <col width="8" customWidth="1" style="174" min="3" max="3"/>
    <col width="10.43" customWidth="1" style="174" min="4" max="4"/>
    <col width="15.14" customWidth="1" style="174" min="5" max="5"/>
    <col width="17.14" customWidth="1" style="174" min="6" max="6"/>
    <col width="15" customWidth="1" style="174" min="7" max="7"/>
    <col width="17.14" customWidth="1" style="174" min="8" max="8"/>
    <col width="9" customWidth="1" style="174" min="9" max="26"/>
  </cols>
  <sheetData>
    <row r="1" ht="12.75" customHeight="1" s="174">
      <c r="A1" s="1" t="n"/>
      <c r="B1" s="1" t="n"/>
      <c r="C1" s="1" t="n"/>
      <c r="D1" s="1" t="n"/>
      <c r="E1" s="1" t="n"/>
      <c r="F1" s="1" t="n"/>
      <c r="G1" s="1" t="n"/>
      <c r="H1" s="2" t="inlineStr">
        <is>
          <t>Form 3/3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40.5" customHeight="1" s="174">
      <c r="A2" s="1" t="n"/>
      <c r="B2" s="1" t="n"/>
      <c r="C2" s="3" t="n"/>
      <c r="D2" s="3" t="n"/>
      <c r="E2" s="1" t="n"/>
      <c r="F2" s="1" t="n"/>
      <c r="G2" s="4" t="inlineStr">
        <is>
          <t>BILLING NO.</t>
        </is>
      </c>
      <c r="H2" s="9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9.75" customHeight="1" s="174">
      <c r="A3" s="6" t="inlineStr">
        <is>
          <t>"Building Trust"</t>
        </is>
      </c>
      <c r="C3" s="3" t="n"/>
      <c r="D3" s="3" t="n"/>
      <c r="E3" s="1" t="n"/>
      <c r="F3" s="1" t="n"/>
      <c r="G3" s="4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" customHeight="1" s="174">
      <c r="A4" s="10" t="inlineStr">
        <is>
          <t>Hontech Auto Center</t>
        </is>
      </c>
      <c r="B4" s="10" t="n"/>
      <c r="C4" s="3" t="n"/>
      <c r="D4" s="3" t="n"/>
      <c r="E4" s="1" t="n"/>
      <c r="F4" s="1" t="n"/>
      <c r="G4" s="1" t="n"/>
      <c r="H4" s="1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75" customHeight="1" s="174">
      <c r="A5" s="12" t="inlineStr">
        <is>
          <t>70 Bayan Bayanan Ave cor Narra St.</t>
        </is>
      </c>
      <c r="B5" s="13" t="n"/>
      <c r="C5" s="13" t="n"/>
      <c r="D5" s="1" t="n"/>
      <c r="E5" s="1" t="n"/>
      <c r="F5" s="1" t="n"/>
      <c r="G5" s="15" t="inlineStr">
        <is>
          <t>DATE:</t>
        </is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75" customHeight="1" s="174">
      <c r="A6" s="13" t="inlineStr">
        <is>
          <t>Marikina Heights, Marikina City</t>
        </is>
      </c>
      <c r="B6" s="13" t="n"/>
      <c r="C6" s="13" t="n"/>
      <c r="D6" s="1" t="n"/>
      <c r="E6" s="1" t="n"/>
      <c r="F6" s="1" t="n"/>
      <c r="G6" s="15" t="inlineStr">
        <is>
          <t>JOB ORDER NO.:</t>
        </is>
      </c>
      <c r="H6" s="63">
        <f>Job_Order!K2</f>
        <v/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174">
      <c r="A7" s="13" t="inlineStr">
        <is>
          <t>fb.com/hontechautocenter</t>
        </is>
      </c>
      <c r="B7" s="13" t="n"/>
      <c r="C7" s="13" t="n"/>
      <c r="D7" s="1" t="n"/>
      <c r="E7" s="1" t="n"/>
      <c r="F7" s="2" t="n"/>
      <c r="G7" s="15" t="inlineStr">
        <is>
          <t>QUOTATION NO.:</t>
        </is>
      </c>
      <c r="H7" s="63">
        <f>'Quotation_No 1'!H2</f>
        <v/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174">
      <c r="A8" s="13">
        <f>Job_Order!B8</f>
        <v/>
      </c>
      <c r="B8" s="13" t="n"/>
      <c r="C8" s="13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174">
      <c r="A9" s="200" t="inlineStr">
        <is>
          <t>CUSTOMER DETAILS</t>
        </is>
      </c>
      <c r="B9" s="186" t="n"/>
      <c r="C9" s="186" t="n"/>
      <c r="D9" s="186" t="n"/>
      <c r="E9" s="186" t="n"/>
      <c r="F9" s="186" t="n"/>
      <c r="G9" s="186" t="n"/>
      <c r="H9" s="20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174">
      <c r="A10" s="41" t="inlineStr">
        <is>
          <t>Name         :</t>
        </is>
      </c>
      <c r="B10" s="76">
        <f>Job_Order!C10</f>
        <v/>
      </c>
      <c r="C10" s="184" t="n"/>
      <c r="D10" s="184" t="n"/>
      <c r="E10" s="184" t="n"/>
      <c r="F10" s="13" t="inlineStr">
        <is>
          <t>Plate No:</t>
        </is>
      </c>
      <c r="G10" s="218">
        <f>Job_Order!K10</f>
        <v/>
      </c>
      <c r="H10" s="185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174">
      <c r="A11" s="41" t="inlineStr">
        <is>
          <t>Address    :</t>
        </is>
      </c>
      <c r="B11" s="76">
        <f>Job_Order!C11</f>
        <v/>
      </c>
      <c r="C11" s="184" t="n"/>
      <c r="D11" s="184" t="n"/>
      <c r="E11" s="184" t="n"/>
      <c r="F11" s="13" t="inlineStr">
        <is>
          <t>Model/Year:</t>
        </is>
      </c>
      <c r="G11" s="218">
        <f>Job_Order!H10</f>
        <v/>
      </c>
      <c r="H11" s="185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174">
      <c r="A12" s="41" t="inlineStr">
        <is>
          <t>Contact No:</t>
        </is>
      </c>
      <c r="B12" s="30">
        <f>Job_Order!C12</f>
        <v/>
      </c>
      <c r="C12" s="178" t="n"/>
      <c r="D12" s="178" t="n"/>
      <c r="E12" s="178" t="n"/>
      <c r="F12" s="13" t="inlineStr">
        <is>
          <t>Color:</t>
        </is>
      </c>
      <c r="G12" s="219">
        <f>Job_Order!K13</f>
        <v/>
      </c>
      <c r="H12" s="220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174">
      <c r="A13" s="13" t="inlineStr">
        <is>
          <t>E-Mail Add :</t>
        </is>
      </c>
      <c r="B13" s="30">
        <f>Job_Order!C13</f>
        <v/>
      </c>
      <c r="C13" s="178" t="n"/>
      <c r="D13" s="178" t="n"/>
      <c r="E13" s="178" t="n"/>
      <c r="F13" s="1" t="inlineStr">
        <is>
          <t xml:space="preserve">   Km Reading:</t>
        </is>
      </c>
      <c r="G13" s="30">
        <f>Job_Order!H11</f>
        <v/>
      </c>
      <c r="H13" s="178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74">
      <c r="A14" s="1" t="inlineStr">
        <is>
          <t>This is to bill you in the amount of</t>
        </is>
      </c>
      <c r="B14" s="150" t="n"/>
      <c r="C14" s="151">
        <f>H57</f>
        <v/>
      </c>
      <c r="D14" s="32" t="inlineStr">
        <is>
          <t>with the following details described below:</t>
        </is>
      </c>
      <c r="E14" s="150" t="n"/>
      <c r="F14" s="1" t="n"/>
      <c r="G14" s="150" t="n"/>
      <c r="H14" s="15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174">
      <c r="A15" s="13" t="n"/>
      <c r="B15" s="13" t="n"/>
      <c r="C15" s="13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.75" customHeight="1" s="174">
      <c r="A16" s="56" t="inlineStr">
        <is>
          <t>PARTS/MATERIAL</t>
        </is>
      </c>
      <c r="B16" s="181" t="n"/>
      <c r="C16" s="56" t="inlineStr">
        <is>
          <t>QTY</t>
        </is>
      </c>
      <c r="D16" s="57" t="inlineStr">
        <is>
          <t>FRT</t>
        </is>
      </c>
      <c r="E16" s="57" t="inlineStr">
        <is>
          <t>LABOR</t>
        </is>
      </c>
      <c r="F16" s="56" t="inlineStr">
        <is>
          <t>PARTS</t>
        </is>
      </c>
      <c r="G16" s="56" t="inlineStr">
        <is>
          <t>MATERALS</t>
        </is>
      </c>
      <c r="H16" s="56" t="inlineStr">
        <is>
          <t>AMOUNT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2.75" customHeight="1" s="174">
      <c r="A17" s="205" t="n"/>
      <c r="B17" s="181" t="n"/>
      <c r="C17" s="63" t="n"/>
      <c r="D17" s="65" t="n"/>
      <c r="E17" s="65">
        <f>D17*550</f>
        <v/>
      </c>
      <c r="F17" s="65" t="n"/>
      <c r="G17" s="65" t="n"/>
      <c r="H17" s="65">
        <f>G17+F17+E17</f>
        <v/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174">
      <c r="A18" s="205" t="n"/>
      <c r="B18" s="181" t="n"/>
      <c r="C18" s="63" t="n"/>
      <c r="D18" s="65" t="n"/>
      <c r="E18" s="65">
        <f>D18*550</f>
        <v/>
      </c>
      <c r="F18" s="65" t="n"/>
      <c r="G18" s="65" t="n"/>
      <c r="H18" s="65">
        <f>E18+F18+G18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.75" customHeight="1" s="174">
      <c r="A19" s="205" t="n"/>
      <c r="B19" s="181" t="n"/>
      <c r="C19" s="63" t="n"/>
      <c r="D19" s="65" t="n"/>
      <c r="E19" s="65">
        <f>D19*550</f>
        <v/>
      </c>
      <c r="F19" s="65" t="n"/>
      <c r="G19" s="65" t="n"/>
      <c r="H19" s="65">
        <f>E19+F19+G19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174">
      <c r="A20" s="205" t="n"/>
      <c r="B20" s="181" t="n"/>
      <c r="C20" s="63" t="n"/>
      <c r="D20" s="65" t="n"/>
      <c r="E20" s="65">
        <f>D20*550</f>
        <v/>
      </c>
      <c r="F20" s="65" t="n"/>
      <c r="G20" s="65" t="n"/>
      <c r="H20" s="65">
        <f>E20+F20+G20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174">
      <c r="A21" s="205" t="n"/>
      <c r="B21" s="181" t="n"/>
      <c r="C21" s="63" t="n"/>
      <c r="D21" s="65" t="n"/>
      <c r="E21" s="65">
        <f>D21*550</f>
        <v/>
      </c>
      <c r="F21" s="65" t="n"/>
      <c r="G21" s="65" t="n"/>
      <c r="H21" s="65">
        <f>E21+F21+G21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174">
      <c r="A22" s="205" t="n"/>
      <c r="B22" s="181" t="n"/>
      <c r="C22" s="63" t="n"/>
      <c r="D22" s="65" t="n"/>
      <c r="E22" s="65">
        <f>D22*550</f>
        <v/>
      </c>
      <c r="F22" s="65" t="n"/>
      <c r="G22" s="65" t="n"/>
      <c r="H22" s="72">
        <f>E22+F22+G22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.75" customHeight="1" s="174">
      <c r="A23" s="205" t="n"/>
      <c r="B23" s="181" t="n"/>
      <c r="C23" s="63" t="n"/>
      <c r="D23" s="65" t="n"/>
      <c r="E23" s="65">
        <f>D23*550</f>
        <v/>
      </c>
      <c r="F23" s="65" t="n"/>
      <c r="G23" s="65" t="n"/>
      <c r="H23" s="65">
        <f>E23+F23+G23</f>
        <v/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174">
      <c r="A24" s="205" t="n"/>
      <c r="B24" s="181" t="n"/>
      <c r="C24" s="63" t="n"/>
      <c r="D24" s="65" t="n"/>
      <c r="E24" s="65">
        <f>D24*550</f>
        <v/>
      </c>
      <c r="F24" s="65" t="n"/>
      <c r="G24" s="65" t="n"/>
      <c r="H24" s="65">
        <f>E24+F24+G24</f>
        <v/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.75" customHeight="1" s="174">
      <c r="A25" s="205" t="n"/>
      <c r="B25" s="181" t="n"/>
      <c r="C25" s="63" t="n"/>
      <c r="D25" s="65" t="n"/>
      <c r="E25" s="65">
        <f>D25*550</f>
        <v/>
      </c>
      <c r="F25" s="65" t="n"/>
      <c r="G25" s="65" t="n"/>
      <c r="H25" s="65">
        <f>E25+F25+G25</f>
        <v/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.75" customHeight="1" s="174">
      <c r="A26" s="205" t="n"/>
      <c r="B26" s="181" t="n"/>
      <c r="C26" s="63" t="n"/>
      <c r="D26" s="65" t="n"/>
      <c r="E26" s="65">
        <f>D26*550</f>
        <v/>
      </c>
      <c r="F26" s="65" t="n"/>
      <c r="G26" s="65" t="n"/>
      <c r="H26" s="65">
        <f>E26+F26+G26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174">
      <c r="A27" s="205" t="n"/>
      <c r="B27" s="181" t="n"/>
      <c r="C27" s="63" t="n"/>
      <c r="D27" s="65" t="n"/>
      <c r="E27" s="65">
        <f>D27*550</f>
        <v/>
      </c>
      <c r="F27" s="65" t="n"/>
      <c r="G27" s="65" t="n"/>
      <c r="H27" s="65">
        <f>E27+F27+G27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174">
      <c r="A28" s="205" t="n"/>
      <c r="B28" s="181" t="n"/>
      <c r="C28" s="63" t="n"/>
      <c r="D28" s="65" t="n"/>
      <c r="E28" s="65">
        <f>D28*550</f>
        <v/>
      </c>
      <c r="F28" s="65" t="n"/>
      <c r="G28" s="65" t="n"/>
      <c r="H28" s="65">
        <f>E28+F28+G28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174">
      <c r="A29" s="205" t="n"/>
      <c r="B29" s="181" t="n"/>
      <c r="C29" s="63" t="n"/>
      <c r="D29" s="65" t="n"/>
      <c r="E29" s="65">
        <f>D29*550</f>
        <v/>
      </c>
      <c r="F29" s="65" t="n"/>
      <c r="G29" s="65" t="n"/>
      <c r="H29" s="72">
        <f>E29+F29+G29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174">
      <c r="A30" s="205" t="n"/>
      <c r="B30" s="181" t="n"/>
      <c r="C30" s="63" t="n"/>
      <c r="D30" s="65" t="n"/>
      <c r="E30" s="65">
        <f>D30*550</f>
        <v/>
      </c>
      <c r="F30" s="65" t="n"/>
      <c r="G30" s="65" t="n"/>
      <c r="H30" s="65">
        <f>E30+F30+G30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174">
      <c r="A31" s="205" t="n"/>
      <c r="B31" s="181" t="n"/>
      <c r="C31" s="63" t="n"/>
      <c r="D31" s="65" t="n"/>
      <c r="E31" s="65">
        <f>D31*550</f>
        <v/>
      </c>
      <c r="F31" s="65" t="n"/>
      <c r="G31" s="65" t="n"/>
      <c r="H31" s="65">
        <f>E31+F31+G31</f>
        <v/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174">
      <c r="A32" s="205" t="n"/>
      <c r="B32" s="181" t="n"/>
      <c r="C32" s="63" t="n"/>
      <c r="D32" s="65" t="n"/>
      <c r="E32" s="65">
        <f>D32*550</f>
        <v/>
      </c>
      <c r="F32" s="65" t="n"/>
      <c r="G32" s="65" t="n"/>
      <c r="H32" s="65">
        <f>E32+F32+G32</f>
        <v/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174">
      <c r="A33" s="205" t="n"/>
      <c r="B33" s="181" t="n"/>
      <c r="C33" s="63" t="n"/>
      <c r="D33" s="65" t="n"/>
      <c r="E33" s="65">
        <f>D33*550</f>
        <v/>
      </c>
      <c r="F33" s="65" t="n"/>
      <c r="G33" s="65" t="n"/>
      <c r="H33" s="65">
        <f>E33+F33+G33</f>
        <v/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174">
      <c r="A34" s="205" t="n"/>
      <c r="B34" s="181" t="n"/>
      <c r="C34" s="63" t="n"/>
      <c r="D34" s="65" t="n"/>
      <c r="E34" s="65">
        <f>D34*550</f>
        <v/>
      </c>
      <c r="F34" s="65" t="n"/>
      <c r="G34" s="65" t="n"/>
      <c r="H34" s="65">
        <f>E34+F34+G34</f>
        <v/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174">
      <c r="A35" s="205" t="n"/>
      <c r="B35" s="181" t="n"/>
      <c r="C35" s="63" t="n"/>
      <c r="D35" s="65" t="n"/>
      <c r="E35" s="65">
        <f>D35*550</f>
        <v/>
      </c>
      <c r="F35" s="65" t="n"/>
      <c r="G35" s="65" t="n"/>
      <c r="H35" s="65">
        <f>E35+F35+G35</f>
        <v/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174">
      <c r="A36" s="205" t="n"/>
      <c r="B36" s="181" t="n"/>
      <c r="C36" s="63" t="n"/>
      <c r="D36" s="65" t="n"/>
      <c r="E36" s="65">
        <f>D36*550</f>
        <v/>
      </c>
      <c r="F36" s="65" t="n"/>
      <c r="G36" s="65" t="n"/>
      <c r="H36" s="65">
        <f>E36+F36+G36</f>
        <v/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174">
      <c r="A37" s="205" t="n"/>
      <c r="B37" s="181" t="n"/>
      <c r="C37" s="63" t="n"/>
      <c r="D37" s="65" t="n"/>
      <c r="E37" s="65">
        <f>D37*550</f>
        <v/>
      </c>
      <c r="F37" s="65" t="n"/>
      <c r="G37" s="65" t="n"/>
      <c r="H37" s="65">
        <f>E37+F37+G37</f>
        <v/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174">
      <c r="A38" s="205" t="n"/>
      <c r="B38" s="181" t="n"/>
      <c r="C38" s="63" t="n"/>
      <c r="D38" s="65" t="n"/>
      <c r="E38" s="65">
        <f>D38*550</f>
        <v/>
      </c>
      <c r="F38" s="65" t="n"/>
      <c r="G38" s="65" t="n"/>
      <c r="H38" s="65">
        <f>E38+F38+G38</f>
        <v/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174">
      <c r="A39" s="205" t="n"/>
      <c r="B39" s="181" t="n"/>
      <c r="C39" s="63" t="n"/>
      <c r="D39" s="65" t="n"/>
      <c r="E39" s="65">
        <f>D39*550</f>
        <v/>
      </c>
      <c r="F39" s="65" t="n"/>
      <c r="G39" s="65" t="n"/>
      <c r="H39" s="65">
        <f>E39+F39+G39</f>
        <v/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174">
      <c r="A40" s="205" t="n"/>
      <c r="B40" s="181" t="n"/>
      <c r="C40" s="63" t="n"/>
      <c r="D40" s="65" t="n"/>
      <c r="E40" s="65">
        <f>D40*550</f>
        <v/>
      </c>
      <c r="F40" s="65" t="n"/>
      <c r="G40" s="65" t="n"/>
      <c r="H40" s="65">
        <f>E40+F40+G40</f>
        <v/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174">
      <c r="A41" s="205" t="n"/>
      <c r="B41" s="181" t="n"/>
      <c r="C41" s="63" t="n"/>
      <c r="D41" s="65" t="n"/>
      <c r="E41" s="65">
        <f>D41*550</f>
        <v/>
      </c>
      <c r="F41" s="65" t="n"/>
      <c r="G41" s="65" t="n"/>
      <c r="H41" s="65">
        <f>E41+F41+G41</f>
        <v/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174">
      <c r="A42" s="205" t="n"/>
      <c r="B42" s="181" t="n"/>
      <c r="C42" s="63" t="n"/>
      <c r="D42" s="65" t="n"/>
      <c r="E42" s="65">
        <f>D42*550</f>
        <v/>
      </c>
      <c r="F42" s="65" t="n"/>
      <c r="G42" s="65" t="n"/>
      <c r="H42" s="65">
        <f>E42+F42+G42</f>
        <v/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74">
      <c r="A43" s="205" t="n"/>
      <c r="B43" s="181" t="n"/>
      <c r="C43" s="63" t="n"/>
      <c r="D43" s="65" t="n"/>
      <c r="E43" s="65">
        <f>D43*550</f>
        <v/>
      </c>
      <c r="F43" s="65" t="n"/>
      <c r="G43" s="65" t="n"/>
      <c r="H43" s="65">
        <f>E43+F43+G43</f>
        <v/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174">
      <c r="A44" s="205" t="n"/>
      <c r="B44" s="181" t="n"/>
      <c r="C44" s="63" t="n"/>
      <c r="D44" s="65" t="n"/>
      <c r="E44" s="65">
        <f>D44*550</f>
        <v/>
      </c>
      <c r="F44" s="65" t="n"/>
      <c r="G44" s="65" t="n"/>
      <c r="H44" s="65">
        <f>E44+F44+G44</f>
        <v/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174">
      <c r="A45" s="205" t="n"/>
      <c r="B45" s="181" t="n"/>
      <c r="C45" s="63" t="n"/>
      <c r="D45" s="65" t="n"/>
      <c r="E45" s="65">
        <f>D45*550</f>
        <v/>
      </c>
      <c r="F45" s="65" t="n"/>
      <c r="G45" s="65" t="n"/>
      <c r="H45" s="65">
        <f>E45+F45+G45</f>
        <v/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174">
      <c r="A46" s="205" t="n"/>
      <c r="B46" s="181" t="n"/>
      <c r="C46" s="63" t="n"/>
      <c r="D46" s="65" t="n"/>
      <c r="E46" s="65">
        <f>D46*550</f>
        <v/>
      </c>
      <c r="F46" s="65" t="n"/>
      <c r="G46" s="65" t="n"/>
      <c r="H46" s="65">
        <f>E46+F46+G46</f>
        <v/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174">
      <c r="A47" s="205" t="n"/>
      <c r="B47" s="181" t="n"/>
      <c r="C47" s="63" t="n"/>
      <c r="D47" s="65" t="n"/>
      <c r="E47" s="65">
        <f>D47*550</f>
        <v/>
      </c>
      <c r="F47" s="65" t="n"/>
      <c r="G47" s="65" t="n"/>
      <c r="H47" s="65">
        <f>E47+F47+G47</f>
        <v/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174">
      <c r="A48" s="205" t="n"/>
      <c r="B48" s="181" t="n"/>
      <c r="C48" s="63" t="n"/>
      <c r="D48" s="65" t="n"/>
      <c r="E48" s="65">
        <f>D48*550</f>
        <v/>
      </c>
      <c r="F48" s="65" t="n"/>
      <c r="G48" s="65" t="n"/>
      <c r="H48" s="65">
        <f>E48+F48+G48</f>
        <v/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174">
      <c r="A49" s="205" t="n"/>
      <c r="B49" s="181" t="n"/>
      <c r="C49" s="63" t="n"/>
      <c r="D49" s="65" t="n"/>
      <c r="E49" s="65">
        <f>D49*550</f>
        <v/>
      </c>
      <c r="F49" s="65" t="n"/>
      <c r="G49" s="65" t="n"/>
      <c r="H49" s="65">
        <f>E49+F49+G49</f>
        <v/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174">
      <c r="A50" s="205" t="n"/>
      <c r="B50" s="181" t="n"/>
      <c r="C50" s="63" t="n"/>
      <c r="D50" s="65" t="n"/>
      <c r="E50" s="65">
        <f>D50*550</f>
        <v/>
      </c>
      <c r="F50" s="65" t="n"/>
      <c r="G50" s="65" t="n"/>
      <c r="H50" s="65">
        <f>E50+F50+G50</f>
        <v/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174">
      <c r="A51" s="205" t="n"/>
      <c r="B51" s="181" t="n"/>
      <c r="C51" s="63" t="n"/>
      <c r="D51" s="65" t="n"/>
      <c r="E51" s="65">
        <f>D51*550</f>
        <v/>
      </c>
      <c r="F51" s="65" t="n"/>
      <c r="G51" s="65" t="n"/>
      <c r="H51" s="65">
        <f>E51+F51+G51</f>
        <v/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174">
      <c r="A52" s="205" t="n"/>
      <c r="B52" s="181" t="n"/>
      <c r="C52" s="63" t="n"/>
      <c r="D52" s="63" t="n"/>
      <c r="E52" s="65">
        <f>D52*550</f>
        <v/>
      </c>
      <c r="F52" s="63" t="n"/>
      <c r="G52" s="63" t="n"/>
      <c r="H52" s="65">
        <f>E52+F52+G52</f>
        <v/>
      </c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2.75" customHeight="1" s="174">
      <c r="A53" s="1" t="n"/>
      <c r="B53" s="1" t="n"/>
      <c r="C53" s="1" t="n"/>
      <c r="D53" s="1" t="n"/>
      <c r="E53" s="94" t="n"/>
      <c r="F53" s="1" t="n"/>
      <c r="G53" s="1" t="inlineStr">
        <is>
          <t>LABOR</t>
        </is>
      </c>
      <c r="H53" s="90">
        <f>SUM(E17:E52)</f>
        <v/>
      </c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2.75" customHeight="1" s="174">
      <c r="A54" s="152" t="inlineStr">
        <is>
          <t>TERMS &amp; CONDITIONS</t>
        </is>
      </c>
      <c r="B54" s="153" t="n"/>
      <c r="C54" s="153" t="n"/>
      <c r="D54" s="153" t="n"/>
      <c r="E54" s="154" t="n"/>
      <c r="F54" s="1" t="n"/>
      <c r="G54" s="1" t="inlineStr">
        <is>
          <t>VAT 12%</t>
        </is>
      </c>
      <c r="H54" s="90">
        <f>(H53*12%)</f>
        <v/>
      </c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2.75" customHeight="1" s="174">
      <c r="A55" s="221" t="inlineStr">
        <is>
          <t>Failure to claim vehicle within the prescribed period shall bear a corresponding storage fee. Replaced items/parts/materials from the vehicle within 30 days shall be disposed of  without prior notice.</t>
        </is>
      </c>
      <c r="B55" s="186" t="n"/>
      <c r="C55" s="186" t="n"/>
      <c r="D55" s="186" t="n"/>
      <c r="E55" s="201" t="n"/>
      <c r="F55" s="1" t="n"/>
      <c r="G55" s="1" t="inlineStr">
        <is>
          <t>MATERIALS</t>
        </is>
      </c>
      <c r="H55" s="90">
        <f>SUM(G17:G52)</f>
        <v/>
      </c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74">
      <c r="A56" s="222" t="n"/>
      <c r="E56" s="220" t="n"/>
      <c r="F56" s="1" t="n"/>
      <c r="G56" s="1" t="inlineStr">
        <is>
          <t>PARTS</t>
        </is>
      </c>
      <c r="H56" s="90">
        <f>SUM(F17:F52)</f>
        <v/>
      </c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2.75" customHeight="1" s="174">
      <c r="A57" s="223" t="n"/>
      <c r="B57" s="184" t="n"/>
      <c r="C57" s="184" t="n"/>
      <c r="D57" s="184" t="n"/>
      <c r="E57" s="185" t="n"/>
      <c r="F57" s="1" t="n"/>
      <c r="G57" s="95" t="inlineStr">
        <is>
          <t>TOTAL</t>
        </is>
      </c>
      <c r="H57" s="159">
        <f>SUM(H53:H56)</f>
        <v/>
      </c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74">
      <c r="A58" s="124" t="inlineStr">
        <is>
          <t>HONTECH MANGEMENT:</t>
        </is>
      </c>
      <c r="B58" s="71" t="n"/>
      <c r="C58" s="71" t="n"/>
      <c r="D58" s="1" t="n"/>
      <c r="E58" s="1" t="n"/>
      <c r="F58" s="70" t="n"/>
      <c r="G58" s="160" t="n"/>
      <c r="H58" s="16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2.75" customHeight="1" s="174">
      <c r="A59" s="126" t="n"/>
      <c r="B59" s="184" t="n"/>
      <c r="C59" s="184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74">
      <c r="A60" s="70" t="inlineStr">
        <is>
          <t>Service Advisor</t>
        </is>
      </c>
      <c r="D60" s="1" t="n"/>
      <c r="E60" s="1" t="n"/>
      <c r="F60" s="1" t="n"/>
      <c r="G60" s="162" t="n"/>
      <c r="H60" s="16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2.75" customHeight="1" s="174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74">
      <c r="A62" s="73" t="inlineStr">
        <is>
          <t>Thank you for trusting us!</t>
        </is>
      </c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30.75" customHeight="1" s="174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7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" customHeight="1" s="174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174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2.75" customHeight="1" s="174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.75" customHeight="1" s="174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174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174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174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74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74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74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74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74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74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74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74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74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74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7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7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7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7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7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7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7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7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7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7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7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7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7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7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7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7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7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7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7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7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7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7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7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7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7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7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7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7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7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7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7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7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7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7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7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7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7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7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7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7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7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7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7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7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7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7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7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7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7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7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7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7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7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7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7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7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7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7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7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7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7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7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7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7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7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7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7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7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7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7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7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7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7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7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7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7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7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7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7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7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7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7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7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7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7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7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7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7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7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7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7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7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7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7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7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7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7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7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7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7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7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7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7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7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7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7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7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7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7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7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7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7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7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7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7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7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7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7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7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7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7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7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7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7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7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7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7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7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7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7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7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7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7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7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7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7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7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7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7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7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7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7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7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7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7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7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7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7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7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7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7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7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7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7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7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7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7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7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7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7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7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7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7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7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7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7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7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7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7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7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7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7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7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7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7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7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7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7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7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7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7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7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7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7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7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7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7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7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7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7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7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7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7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7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7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7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7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7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7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7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7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7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7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7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7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7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7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7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7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7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7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7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7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7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7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7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7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7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7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7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7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7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7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7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7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7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7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7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7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7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7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7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7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7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7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7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7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7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7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7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7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7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7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7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7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7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7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7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7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7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7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7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7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7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7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7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7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7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7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7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7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7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7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7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7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7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7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7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7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7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7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7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7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74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74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74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74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74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74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7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74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74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74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74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74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74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74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74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74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74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74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74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74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74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74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74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74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74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7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74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74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74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74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74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74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74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74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74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7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74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74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74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74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74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74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74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74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74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7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74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74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74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74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74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74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74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74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74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7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74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74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74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74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74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74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74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74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74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7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74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74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74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74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74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74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74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74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74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7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74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74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74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74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74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74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74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74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74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7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74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74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74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74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74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74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74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74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74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7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74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74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74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74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74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74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74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74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74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7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74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74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74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74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74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74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74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74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74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74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74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74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74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74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74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74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74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74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7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74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74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74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74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74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74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74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74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74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7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74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74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74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74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74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74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74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74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74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7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74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74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74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74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74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74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74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74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74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7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74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74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74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74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74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74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74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74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74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7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74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74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74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74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74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74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74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74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74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7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74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74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74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74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74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74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74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74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74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7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74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74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74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74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74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74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74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74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74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7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74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74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74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74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74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74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74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74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74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7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74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74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74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74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74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74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74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74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74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74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74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74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74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74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74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74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74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74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7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74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74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74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74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74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74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74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74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74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7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74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74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74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74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74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74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74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74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74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7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74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74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74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74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74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74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74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74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74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7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74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74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74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74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74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74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74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74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74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7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74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74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74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74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74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74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74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74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74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7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74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74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74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74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74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74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74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74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74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7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74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74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74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74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74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74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74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74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74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7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74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74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74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74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74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74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74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74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74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7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74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74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74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74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74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74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74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74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74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74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74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74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74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74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74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74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74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74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7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74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74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74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74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74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74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74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74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74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7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74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74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74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74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74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74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74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74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74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7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74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74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74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74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74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74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74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74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74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7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74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74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74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74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74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74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74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74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74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7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74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74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74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74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74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74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74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74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74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7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74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74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74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74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74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74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74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74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74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7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74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74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74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74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74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74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74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74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74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7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74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74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74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74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74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74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74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74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74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7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74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74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74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74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74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74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74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74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74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74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74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74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74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74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74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74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74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74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7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74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74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74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74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74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74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74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74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74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7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74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74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74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74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74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74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74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74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74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7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74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74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74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74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74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74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74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74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74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7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74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74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74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74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74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74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74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74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74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7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74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74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74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74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74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74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74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74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74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7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74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74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74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74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74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74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74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74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74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7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74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74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74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74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74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74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74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74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74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7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74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74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74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74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74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74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74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74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74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7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74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74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74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74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74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74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74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74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74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74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74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74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74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74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74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74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74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74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7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74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74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74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74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74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74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74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74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74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7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74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74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74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74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74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74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74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74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74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7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74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74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74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74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74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74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74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74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74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7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74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74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74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74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74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74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74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74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74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7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74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74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74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74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74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74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74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74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74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7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74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74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74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74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74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74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74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74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74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7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74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74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74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74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74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74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74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74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74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7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74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74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74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74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74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74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74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74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74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7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74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74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74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74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74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74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74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74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74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74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74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74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74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74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74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74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74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74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7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74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74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74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74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74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74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74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74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74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7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74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74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74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74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74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74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1">
    <mergeCell ref="A9:H9"/>
    <mergeCell ref="A48:B48"/>
    <mergeCell ref="A24:B24"/>
    <mergeCell ref="G12:H12"/>
    <mergeCell ref="A30:B30"/>
    <mergeCell ref="A49:B49"/>
    <mergeCell ref="G11:H11"/>
    <mergeCell ref="A51:B51"/>
    <mergeCell ref="A45:B45"/>
    <mergeCell ref="A36:B36"/>
    <mergeCell ref="A16:B16"/>
    <mergeCell ref="A25:B25"/>
    <mergeCell ref="A41:B41"/>
    <mergeCell ref="G10:H10"/>
    <mergeCell ref="A37:B37"/>
    <mergeCell ref="A46:B46"/>
    <mergeCell ref="G13:H13"/>
    <mergeCell ref="A18:B18"/>
    <mergeCell ref="A27:B27"/>
    <mergeCell ref="A3:B3"/>
    <mergeCell ref="A50:B50"/>
    <mergeCell ref="A26:B26"/>
    <mergeCell ref="A21:B21"/>
    <mergeCell ref="A55:E57"/>
    <mergeCell ref="B12:E12"/>
    <mergeCell ref="A33:B33"/>
    <mergeCell ref="A47:B47"/>
    <mergeCell ref="A42:B42"/>
    <mergeCell ref="A32:B32"/>
    <mergeCell ref="B11:E11"/>
    <mergeCell ref="A23:B23"/>
    <mergeCell ref="A17:B17"/>
    <mergeCell ref="A59:C59"/>
    <mergeCell ref="A22:B22"/>
    <mergeCell ref="A35:B35"/>
    <mergeCell ref="A20:B20"/>
    <mergeCell ref="A38:B38"/>
    <mergeCell ref="A60:C60"/>
    <mergeCell ref="A62:H62"/>
    <mergeCell ref="A29:B29"/>
    <mergeCell ref="A52:B52"/>
    <mergeCell ref="A43:B43"/>
    <mergeCell ref="B13:E13"/>
    <mergeCell ref="A19:B19"/>
    <mergeCell ref="A28:B28"/>
    <mergeCell ref="A44:B44"/>
    <mergeCell ref="A40:B40"/>
    <mergeCell ref="B10:E10"/>
    <mergeCell ref="A31:B31"/>
    <mergeCell ref="A39:B39"/>
    <mergeCell ref="A34:B34"/>
  </mergeCells>
  <printOptions horizontalCentered="1"/>
  <pageMargins left="0.2660874287265816" right="0.3611186532717894" top="0.5" bottom="0.5" header="0" footer="0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12.71" customWidth="1" style="174" min="1" max="1"/>
    <col width="19.86" customWidth="1" style="174" min="2" max="2"/>
    <col width="8" customWidth="1" style="174" min="3" max="3"/>
    <col width="10.43" customWidth="1" style="174" min="4" max="4"/>
    <col width="15.14" customWidth="1" style="174" min="5" max="5"/>
    <col width="17.14" customWidth="1" style="174" min="6" max="6"/>
    <col width="15" customWidth="1" style="174" min="7" max="7"/>
    <col width="17.14" customWidth="1" style="174" min="8" max="8"/>
    <col width="9" customWidth="1" style="174" min="9" max="26"/>
  </cols>
  <sheetData>
    <row r="1" ht="12.75" customHeight="1" s="174">
      <c r="A1" s="1" t="n"/>
      <c r="B1" s="1" t="n"/>
      <c r="C1" s="1" t="n"/>
      <c r="D1" s="1" t="n"/>
      <c r="E1" s="1" t="n"/>
      <c r="F1" s="1" t="n"/>
      <c r="G1" s="1" t="n"/>
      <c r="H1" s="2" t="inlineStr">
        <is>
          <t>Form 3/3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40.5" customHeight="1" s="174">
      <c r="A2" s="1" t="n"/>
      <c r="B2" s="1" t="n"/>
      <c r="C2" s="3" t="n"/>
      <c r="D2" s="3" t="n"/>
      <c r="E2" s="1" t="n"/>
      <c r="F2" s="1" t="n"/>
      <c r="G2" s="4" t="inlineStr">
        <is>
          <t>BILLING NO.</t>
        </is>
      </c>
      <c r="H2" s="9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9.75" customHeight="1" s="174">
      <c r="A3" s="6" t="inlineStr">
        <is>
          <t>"Building Trust"</t>
        </is>
      </c>
      <c r="C3" s="3" t="n"/>
      <c r="D3" s="3" t="n"/>
      <c r="E3" s="1" t="n"/>
      <c r="F3" s="1" t="n"/>
      <c r="G3" s="4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" customHeight="1" s="174">
      <c r="A4" s="10" t="inlineStr">
        <is>
          <t>Hontech Auto Center</t>
        </is>
      </c>
      <c r="B4" s="10" t="n"/>
      <c r="C4" s="3" t="n"/>
      <c r="D4" s="3" t="n"/>
      <c r="E4" s="1" t="n"/>
      <c r="F4" s="1" t="n"/>
      <c r="G4" s="1" t="n"/>
      <c r="H4" s="1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2.75" customHeight="1" s="174">
      <c r="A5" s="12" t="inlineStr">
        <is>
          <t>70 Bayan Bayanan Ave cor Narra St.</t>
        </is>
      </c>
      <c r="B5" s="13" t="n"/>
      <c r="C5" s="13" t="n"/>
      <c r="D5" s="1" t="n"/>
      <c r="E5" s="1" t="n"/>
      <c r="F5" s="1" t="n"/>
      <c r="G5" s="15" t="inlineStr">
        <is>
          <t>DATE:</t>
        </is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2.75" customHeight="1" s="174">
      <c r="A6" s="13" t="inlineStr">
        <is>
          <t>Marikina Heights, Marikina City</t>
        </is>
      </c>
      <c r="B6" s="13" t="n"/>
      <c r="C6" s="13" t="n"/>
      <c r="D6" s="1" t="n"/>
      <c r="E6" s="1" t="n"/>
      <c r="F6" s="1" t="n"/>
      <c r="G6" s="15" t="inlineStr">
        <is>
          <t>JOB ORDER NO.:</t>
        </is>
      </c>
      <c r="H6" s="63">
        <f>Job_Order!K2</f>
        <v/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2.75" customHeight="1" s="174">
      <c r="A7" s="13" t="inlineStr">
        <is>
          <t>fb.com/hontechautocenter</t>
        </is>
      </c>
      <c r="B7" s="13" t="n"/>
      <c r="C7" s="13" t="n"/>
      <c r="D7" s="1" t="n"/>
      <c r="E7" s="1" t="n"/>
      <c r="F7" s="2" t="n"/>
      <c r="G7" s="15" t="inlineStr">
        <is>
          <t>QUOTATION NO.:</t>
        </is>
      </c>
      <c r="H7" s="63">
        <f>'Quotation_No 1'!H2</f>
        <v/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2.75" customHeight="1" s="174">
      <c r="A8" s="13">
        <f>Job_Order!B8</f>
        <v/>
      </c>
      <c r="B8" s="13" t="n"/>
      <c r="C8" s="13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2.75" customHeight="1" s="174">
      <c r="A9" s="200" t="inlineStr">
        <is>
          <t>CUSTOMER DETAILS</t>
        </is>
      </c>
      <c r="B9" s="186" t="n"/>
      <c r="C9" s="186" t="n"/>
      <c r="D9" s="186" t="n"/>
      <c r="E9" s="186" t="n"/>
      <c r="F9" s="186" t="n"/>
      <c r="G9" s="186" t="n"/>
      <c r="H9" s="20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2.75" customHeight="1" s="174">
      <c r="A10" s="41" t="inlineStr">
        <is>
          <t>Name         :</t>
        </is>
      </c>
      <c r="B10" s="76">
        <f>Job_Order!C10</f>
        <v/>
      </c>
      <c r="C10" s="184" t="n"/>
      <c r="D10" s="184" t="n"/>
      <c r="E10" s="184" t="n"/>
      <c r="F10" s="13" t="inlineStr">
        <is>
          <t>Plate No:</t>
        </is>
      </c>
      <c r="G10" s="218">
        <f>Job_Order!K10</f>
        <v/>
      </c>
      <c r="H10" s="185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2.75" customHeight="1" s="174">
      <c r="A11" s="41" t="inlineStr">
        <is>
          <t>Address    :</t>
        </is>
      </c>
      <c r="B11" s="76">
        <f>Job_Order!C11</f>
        <v/>
      </c>
      <c r="C11" s="184" t="n"/>
      <c r="D11" s="184" t="n"/>
      <c r="E11" s="184" t="n"/>
      <c r="F11" s="13" t="inlineStr">
        <is>
          <t>Model/Year:</t>
        </is>
      </c>
      <c r="G11" s="218">
        <f>Job_Order!H10</f>
        <v/>
      </c>
      <c r="H11" s="185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174">
      <c r="A12" s="41" t="inlineStr">
        <is>
          <t>Contact No:</t>
        </is>
      </c>
      <c r="B12" s="30">
        <f>Job_Order!C12</f>
        <v/>
      </c>
      <c r="C12" s="178" t="n"/>
      <c r="D12" s="178" t="n"/>
      <c r="E12" s="178" t="n"/>
      <c r="F12" s="13" t="inlineStr">
        <is>
          <t>Color:</t>
        </is>
      </c>
      <c r="G12" s="219">
        <f>Job_Order!K13</f>
        <v/>
      </c>
      <c r="H12" s="220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2.75" customHeight="1" s="174">
      <c r="A13" s="13" t="inlineStr">
        <is>
          <t>E-Mail Add :</t>
        </is>
      </c>
      <c r="B13" s="30">
        <f>Job_Order!C13</f>
        <v/>
      </c>
      <c r="C13" s="178" t="n"/>
      <c r="D13" s="178" t="n"/>
      <c r="E13" s="178" t="n"/>
      <c r="F13" s="1" t="inlineStr">
        <is>
          <t xml:space="preserve">   Km Reading:</t>
        </is>
      </c>
      <c r="G13" s="30">
        <f>Job_Order!H11</f>
        <v/>
      </c>
      <c r="H13" s="178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74">
      <c r="A14" s="1" t="inlineStr">
        <is>
          <t>This is to bill you in the amount of</t>
        </is>
      </c>
      <c r="B14" s="150" t="n"/>
      <c r="C14" s="151">
        <f>H57</f>
        <v/>
      </c>
      <c r="D14" s="32" t="inlineStr">
        <is>
          <t>with the following details described below:</t>
        </is>
      </c>
      <c r="E14" s="150" t="n"/>
      <c r="F14" s="1" t="n"/>
      <c r="G14" s="150" t="n"/>
      <c r="H14" s="15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174">
      <c r="A15" s="13" t="n"/>
      <c r="B15" s="13" t="n"/>
      <c r="C15" s="13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.75" customHeight="1" s="174">
      <c r="A16" s="56" t="inlineStr">
        <is>
          <t>PARTS/MATERIAL</t>
        </is>
      </c>
      <c r="B16" s="181" t="n"/>
      <c r="C16" s="56" t="inlineStr">
        <is>
          <t>QTY</t>
        </is>
      </c>
      <c r="D16" s="57" t="inlineStr">
        <is>
          <t>FRT</t>
        </is>
      </c>
      <c r="E16" s="57" t="inlineStr">
        <is>
          <t>LABOR</t>
        </is>
      </c>
      <c r="F16" s="56" t="inlineStr">
        <is>
          <t>PARTS</t>
        </is>
      </c>
      <c r="G16" s="56" t="inlineStr">
        <is>
          <t>MATERALS</t>
        </is>
      </c>
      <c r="H16" s="56" t="inlineStr">
        <is>
          <t>AMOUNT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2.75" customHeight="1" s="174">
      <c r="A17" s="205" t="n"/>
      <c r="B17" s="181" t="n"/>
      <c r="C17" s="63" t="n"/>
      <c r="D17" s="65" t="n"/>
      <c r="E17" s="65">
        <f>D17*550</f>
        <v/>
      </c>
      <c r="F17" s="65" t="n"/>
      <c r="G17" s="65" t="n"/>
      <c r="H17" s="65">
        <f>G17+F17+E17</f>
        <v/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174">
      <c r="A18" s="205" t="n"/>
      <c r="B18" s="181" t="n"/>
      <c r="C18" s="63" t="n"/>
      <c r="D18" s="65" t="n"/>
      <c r="E18" s="65">
        <f>D18*550</f>
        <v/>
      </c>
      <c r="F18" s="65" t="n"/>
      <c r="G18" s="65" t="n"/>
      <c r="H18" s="65">
        <f>E18+F18+G18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2.75" customHeight="1" s="174">
      <c r="A19" s="205" t="n"/>
      <c r="B19" s="181" t="n"/>
      <c r="C19" s="63" t="n"/>
      <c r="D19" s="65" t="n"/>
      <c r="E19" s="65">
        <f>D19*550</f>
        <v/>
      </c>
      <c r="F19" s="65" t="n"/>
      <c r="G19" s="65" t="n"/>
      <c r="H19" s="65">
        <f>E19+F19+G19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2.75" customHeight="1" s="174">
      <c r="A20" s="205" t="n"/>
      <c r="B20" s="181" t="n"/>
      <c r="C20" s="63" t="n"/>
      <c r="D20" s="65" t="n"/>
      <c r="E20" s="65">
        <f>D20*550</f>
        <v/>
      </c>
      <c r="F20" s="65" t="n"/>
      <c r="G20" s="65" t="n"/>
      <c r="H20" s="65">
        <f>E20+F20+G20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174">
      <c r="A21" s="205" t="n"/>
      <c r="B21" s="181" t="n"/>
      <c r="C21" s="63" t="n"/>
      <c r="D21" s="65" t="n"/>
      <c r="E21" s="65">
        <f>D21*550</f>
        <v/>
      </c>
      <c r="F21" s="65" t="n"/>
      <c r="G21" s="65" t="n"/>
      <c r="H21" s="65">
        <f>E21+F21+G21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174">
      <c r="A22" s="205" t="n"/>
      <c r="B22" s="181" t="n"/>
      <c r="C22" s="63" t="n"/>
      <c r="D22" s="65" t="n"/>
      <c r="E22" s="65">
        <f>D22*550</f>
        <v/>
      </c>
      <c r="F22" s="65" t="n"/>
      <c r="G22" s="65" t="n"/>
      <c r="H22" s="72">
        <f>E22+F22+G22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2.75" customHeight="1" s="174">
      <c r="A23" s="205" t="n"/>
      <c r="B23" s="181" t="n"/>
      <c r="C23" s="63" t="n"/>
      <c r="D23" s="65" t="n"/>
      <c r="E23" s="65">
        <f>D23*550</f>
        <v/>
      </c>
      <c r="F23" s="65" t="n"/>
      <c r="G23" s="65" t="n"/>
      <c r="H23" s="65">
        <f>E23+F23+G23</f>
        <v/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174">
      <c r="A24" s="205" t="n"/>
      <c r="B24" s="181" t="n"/>
      <c r="C24" s="63" t="n"/>
      <c r="D24" s="65" t="n"/>
      <c r="E24" s="65">
        <f>D24*550</f>
        <v/>
      </c>
      <c r="F24" s="65" t="n"/>
      <c r="G24" s="65" t="n"/>
      <c r="H24" s="65">
        <f>E24+F24+G24</f>
        <v/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.75" customHeight="1" s="174">
      <c r="A25" s="205" t="n"/>
      <c r="B25" s="181" t="n"/>
      <c r="C25" s="63" t="n"/>
      <c r="D25" s="65" t="n"/>
      <c r="E25" s="65">
        <f>D25*550</f>
        <v/>
      </c>
      <c r="F25" s="65" t="n"/>
      <c r="G25" s="65" t="n"/>
      <c r="H25" s="65">
        <f>E25+F25+G25</f>
        <v/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.75" customHeight="1" s="174">
      <c r="A26" s="205" t="n"/>
      <c r="B26" s="181" t="n"/>
      <c r="C26" s="63" t="n"/>
      <c r="D26" s="65" t="n"/>
      <c r="E26" s="65">
        <f>D26*550</f>
        <v/>
      </c>
      <c r="F26" s="65" t="n"/>
      <c r="G26" s="65" t="n"/>
      <c r="H26" s="65">
        <f>E26+F26+G26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174">
      <c r="A27" s="205" t="n"/>
      <c r="B27" s="181" t="n"/>
      <c r="C27" s="63" t="n"/>
      <c r="D27" s="65" t="n"/>
      <c r="E27" s="65">
        <f>D27*550</f>
        <v/>
      </c>
      <c r="F27" s="65" t="n"/>
      <c r="G27" s="65" t="n"/>
      <c r="H27" s="65">
        <f>E27+F27+G27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174">
      <c r="A28" s="205" t="n"/>
      <c r="B28" s="181" t="n"/>
      <c r="C28" s="63" t="n"/>
      <c r="D28" s="65" t="n"/>
      <c r="E28" s="65">
        <f>D28*550</f>
        <v/>
      </c>
      <c r="F28" s="65" t="n"/>
      <c r="G28" s="65" t="n"/>
      <c r="H28" s="65">
        <f>E28+F28+G28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174">
      <c r="A29" s="205" t="n"/>
      <c r="B29" s="181" t="n"/>
      <c r="C29" s="63" t="n"/>
      <c r="D29" s="65" t="n"/>
      <c r="E29" s="65">
        <f>D29*550</f>
        <v/>
      </c>
      <c r="F29" s="65" t="n"/>
      <c r="G29" s="65" t="n"/>
      <c r="H29" s="72">
        <f>E29+F29+G29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174">
      <c r="A30" s="205" t="n"/>
      <c r="B30" s="181" t="n"/>
      <c r="C30" s="63" t="n"/>
      <c r="D30" s="65" t="n"/>
      <c r="E30" s="65">
        <f>D30*550</f>
        <v/>
      </c>
      <c r="F30" s="65" t="n"/>
      <c r="G30" s="65" t="n"/>
      <c r="H30" s="65">
        <f>E30+F30+G30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174">
      <c r="A31" s="205" t="n"/>
      <c r="B31" s="181" t="n"/>
      <c r="C31" s="63" t="n"/>
      <c r="D31" s="65" t="n"/>
      <c r="E31" s="65">
        <f>D31*550</f>
        <v/>
      </c>
      <c r="F31" s="65" t="n"/>
      <c r="G31" s="65" t="n"/>
      <c r="H31" s="65">
        <f>E31+F31+G31</f>
        <v/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174">
      <c r="A32" s="205" t="n"/>
      <c r="B32" s="181" t="n"/>
      <c r="C32" s="63" t="n"/>
      <c r="D32" s="65" t="n"/>
      <c r="E32" s="65">
        <f>D32*550</f>
        <v/>
      </c>
      <c r="F32" s="65" t="n"/>
      <c r="G32" s="65" t="n"/>
      <c r="H32" s="65">
        <f>E32+F32+G32</f>
        <v/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174">
      <c r="A33" s="205" t="n"/>
      <c r="B33" s="181" t="n"/>
      <c r="C33" s="63" t="n"/>
      <c r="D33" s="65" t="n"/>
      <c r="E33" s="65">
        <f>D33*550</f>
        <v/>
      </c>
      <c r="F33" s="65" t="n"/>
      <c r="G33" s="65" t="n"/>
      <c r="H33" s="65">
        <f>E33+F33+G33</f>
        <v/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174">
      <c r="A34" s="205" t="n"/>
      <c r="B34" s="181" t="n"/>
      <c r="C34" s="63" t="n"/>
      <c r="D34" s="65" t="n"/>
      <c r="E34" s="65">
        <f>D34*550</f>
        <v/>
      </c>
      <c r="F34" s="65" t="n"/>
      <c r="G34" s="65" t="n"/>
      <c r="H34" s="65">
        <f>E34+F34+G34</f>
        <v/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174">
      <c r="A35" s="205" t="n"/>
      <c r="B35" s="181" t="n"/>
      <c r="C35" s="63" t="n"/>
      <c r="D35" s="65" t="n"/>
      <c r="E35" s="65">
        <f>D35*550</f>
        <v/>
      </c>
      <c r="F35" s="65" t="n"/>
      <c r="G35" s="65" t="n"/>
      <c r="H35" s="65">
        <f>E35+F35+G35</f>
        <v/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174">
      <c r="A36" s="205" t="n"/>
      <c r="B36" s="181" t="n"/>
      <c r="C36" s="63" t="n"/>
      <c r="D36" s="65" t="n"/>
      <c r="E36" s="65">
        <f>D36*550</f>
        <v/>
      </c>
      <c r="F36" s="65" t="n"/>
      <c r="G36" s="65" t="n"/>
      <c r="H36" s="65">
        <f>E36+F36+G36</f>
        <v/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174">
      <c r="A37" s="205" t="n"/>
      <c r="B37" s="181" t="n"/>
      <c r="C37" s="63" t="n"/>
      <c r="D37" s="65" t="n"/>
      <c r="E37" s="65">
        <f>D37*550</f>
        <v/>
      </c>
      <c r="F37" s="65" t="n"/>
      <c r="G37" s="65" t="n"/>
      <c r="H37" s="65">
        <f>E37+F37+G37</f>
        <v/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174">
      <c r="A38" s="205" t="n"/>
      <c r="B38" s="181" t="n"/>
      <c r="C38" s="63" t="n"/>
      <c r="D38" s="65" t="n"/>
      <c r="E38" s="65">
        <f>D38*550</f>
        <v/>
      </c>
      <c r="F38" s="65" t="n"/>
      <c r="G38" s="65" t="n"/>
      <c r="H38" s="65">
        <f>E38+F38+G38</f>
        <v/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174">
      <c r="A39" s="205" t="n"/>
      <c r="B39" s="181" t="n"/>
      <c r="C39" s="63" t="n"/>
      <c r="D39" s="65" t="n"/>
      <c r="E39" s="65">
        <f>D39*550</f>
        <v/>
      </c>
      <c r="F39" s="65" t="n"/>
      <c r="G39" s="65" t="n"/>
      <c r="H39" s="65">
        <f>E39+F39+G39</f>
        <v/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174">
      <c r="A40" s="205" t="n"/>
      <c r="B40" s="181" t="n"/>
      <c r="C40" s="63" t="n"/>
      <c r="D40" s="65" t="n"/>
      <c r="E40" s="65">
        <f>D40*550</f>
        <v/>
      </c>
      <c r="F40" s="65" t="n"/>
      <c r="G40" s="65" t="n"/>
      <c r="H40" s="65">
        <f>E40+F40+G40</f>
        <v/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174">
      <c r="A41" s="205" t="n"/>
      <c r="B41" s="181" t="n"/>
      <c r="C41" s="63" t="n"/>
      <c r="D41" s="65" t="n"/>
      <c r="E41" s="65">
        <f>D41*550</f>
        <v/>
      </c>
      <c r="F41" s="65" t="n"/>
      <c r="G41" s="65" t="n"/>
      <c r="H41" s="65">
        <f>E41+F41+G41</f>
        <v/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174">
      <c r="A42" s="205" t="n"/>
      <c r="B42" s="181" t="n"/>
      <c r="C42" s="63" t="n"/>
      <c r="D42" s="65" t="n"/>
      <c r="E42" s="65">
        <f>D42*550</f>
        <v/>
      </c>
      <c r="F42" s="65" t="n"/>
      <c r="G42" s="65" t="n"/>
      <c r="H42" s="65">
        <f>E42+F42+G42</f>
        <v/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74">
      <c r="A43" s="205" t="n"/>
      <c r="B43" s="181" t="n"/>
      <c r="C43" s="63" t="n"/>
      <c r="D43" s="65" t="n"/>
      <c r="E43" s="65">
        <f>D43*550</f>
        <v/>
      </c>
      <c r="F43" s="65" t="n"/>
      <c r="G43" s="65" t="n"/>
      <c r="H43" s="65">
        <f>E43+F43+G43</f>
        <v/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174">
      <c r="A44" s="205" t="n"/>
      <c r="B44" s="181" t="n"/>
      <c r="C44" s="63" t="n"/>
      <c r="D44" s="65" t="n"/>
      <c r="E44" s="65">
        <f>D44*550</f>
        <v/>
      </c>
      <c r="F44" s="65" t="n"/>
      <c r="G44" s="65" t="n"/>
      <c r="H44" s="65">
        <f>E44+F44+G44</f>
        <v/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174">
      <c r="A45" s="205" t="n"/>
      <c r="B45" s="181" t="n"/>
      <c r="C45" s="63" t="n"/>
      <c r="D45" s="65" t="n"/>
      <c r="E45" s="65">
        <f>D45*550</f>
        <v/>
      </c>
      <c r="F45" s="65" t="n"/>
      <c r="G45" s="65" t="n"/>
      <c r="H45" s="65">
        <f>E45+F45+G45</f>
        <v/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174">
      <c r="A46" s="205" t="n"/>
      <c r="B46" s="181" t="n"/>
      <c r="C46" s="63" t="n"/>
      <c r="D46" s="65" t="n"/>
      <c r="E46" s="65">
        <f>D46*550</f>
        <v/>
      </c>
      <c r="F46" s="65" t="n"/>
      <c r="G46" s="65" t="n"/>
      <c r="H46" s="65">
        <f>E46+F46+G46</f>
        <v/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174">
      <c r="A47" s="205" t="n"/>
      <c r="B47" s="181" t="n"/>
      <c r="C47" s="63" t="n"/>
      <c r="D47" s="65" t="n"/>
      <c r="E47" s="65">
        <f>D47*550</f>
        <v/>
      </c>
      <c r="F47" s="65" t="n"/>
      <c r="G47" s="65" t="n"/>
      <c r="H47" s="65">
        <f>E47+F47+G47</f>
        <v/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174">
      <c r="A48" s="205" t="n"/>
      <c r="B48" s="181" t="n"/>
      <c r="C48" s="63" t="n"/>
      <c r="D48" s="65" t="n"/>
      <c r="E48" s="65">
        <f>D48*550</f>
        <v/>
      </c>
      <c r="F48" s="65" t="n"/>
      <c r="G48" s="65" t="n"/>
      <c r="H48" s="65">
        <f>E48+F48+G48</f>
        <v/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174">
      <c r="A49" s="205" t="n"/>
      <c r="B49" s="181" t="n"/>
      <c r="C49" s="63" t="n"/>
      <c r="D49" s="65" t="n"/>
      <c r="E49" s="65">
        <f>D49*550</f>
        <v/>
      </c>
      <c r="F49" s="65" t="n"/>
      <c r="G49" s="65" t="n"/>
      <c r="H49" s="65">
        <f>E49+F49+G49</f>
        <v/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174">
      <c r="A50" s="205" t="n"/>
      <c r="B50" s="181" t="n"/>
      <c r="C50" s="63" t="n"/>
      <c r="D50" s="65" t="n"/>
      <c r="E50" s="65">
        <f>D50*550</f>
        <v/>
      </c>
      <c r="F50" s="65" t="n"/>
      <c r="G50" s="65" t="n"/>
      <c r="H50" s="65">
        <f>E50+F50+G50</f>
        <v/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174">
      <c r="A51" s="205" t="n"/>
      <c r="B51" s="181" t="n"/>
      <c r="C51" s="63" t="n"/>
      <c r="D51" s="65" t="n"/>
      <c r="E51" s="65">
        <f>D51*550</f>
        <v/>
      </c>
      <c r="F51" s="65" t="n"/>
      <c r="G51" s="65" t="n"/>
      <c r="H51" s="65">
        <f>E51+F51+G51</f>
        <v/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174">
      <c r="A52" s="205" t="n"/>
      <c r="B52" s="181" t="n"/>
      <c r="C52" s="63" t="n"/>
      <c r="D52" s="63" t="n"/>
      <c r="E52" s="65">
        <f>D52*550</f>
        <v/>
      </c>
      <c r="F52" s="63" t="n"/>
      <c r="G52" s="63" t="n"/>
      <c r="H52" s="65">
        <f>E52+F52+G52</f>
        <v/>
      </c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2.75" customHeight="1" s="174">
      <c r="A53" s="1" t="n"/>
      <c r="B53" s="1" t="n"/>
      <c r="C53" s="1" t="n"/>
      <c r="D53" s="1" t="n"/>
      <c r="E53" s="94" t="n"/>
      <c r="F53" s="1" t="n"/>
      <c r="G53" s="1" t="inlineStr">
        <is>
          <t>LABOR</t>
        </is>
      </c>
      <c r="H53" s="90">
        <f>SUM(E17:E52)</f>
        <v/>
      </c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2.75" customHeight="1" s="174">
      <c r="A54" s="152" t="inlineStr">
        <is>
          <t>TERMS &amp; CONDITIONS</t>
        </is>
      </c>
      <c r="B54" s="153" t="n"/>
      <c r="C54" s="153" t="n"/>
      <c r="D54" s="153" t="n"/>
      <c r="E54" s="154" t="n"/>
      <c r="F54" s="1" t="n"/>
      <c r="G54" s="1" t="inlineStr">
        <is>
          <t>VAT 12%</t>
        </is>
      </c>
      <c r="H54" s="90">
        <f>(H53*12%)</f>
        <v/>
      </c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2.75" customHeight="1" s="174">
      <c r="A55" s="221" t="inlineStr">
        <is>
          <t>Failure to claim vehicle within the prescribed period shall bear a corresponding storage fee. Replaced items/parts/materials from the vehicle within 30 days shall be disposed of  without prior notice.</t>
        </is>
      </c>
      <c r="B55" s="186" t="n"/>
      <c r="C55" s="186" t="n"/>
      <c r="D55" s="186" t="n"/>
      <c r="E55" s="201" t="n"/>
      <c r="F55" s="1" t="n"/>
      <c r="G55" s="1" t="inlineStr">
        <is>
          <t>MATERIALS</t>
        </is>
      </c>
      <c r="H55" s="90">
        <f>SUM(G17:G52)</f>
        <v/>
      </c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74">
      <c r="A56" s="222" t="n"/>
      <c r="E56" s="220" t="n"/>
      <c r="F56" s="1" t="n"/>
      <c r="G56" s="1" t="inlineStr">
        <is>
          <t>PARTS</t>
        </is>
      </c>
      <c r="H56" s="90">
        <f>SUM(F17:F52)</f>
        <v/>
      </c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2.75" customHeight="1" s="174">
      <c r="A57" s="223" t="n"/>
      <c r="B57" s="184" t="n"/>
      <c r="C57" s="184" t="n"/>
      <c r="D57" s="184" t="n"/>
      <c r="E57" s="185" t="n"/>
      <c r="F57" s="1" t="n"/>
      <c r="G57" s="95" t="inlineStr">
        <is>
          <t>TOTAL</t>
        </is>
      </c>
      <c r="H57" s="159">
        <f>SUM(H53:H56)</f>
        <v/>
      </c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74">
      <c r="A58" s="124" t="inlineStr">
        <is>
          <t>HONTECH MANGEMENT:</t>
        </is>
      </c>
      <c r="B58" s="71" t="n"/>
      <c r="C58" s="71" t="n"/>
      <c r="D58" s="1" t="n"/>
      <c r="E58" s="1" t="n"/>
      <c r="F58" s="70" t="n"/>
      <c r="G58" s="160" t="n"/>
      <c r="H58" s="16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2.75" customHeight="1" s="174">
      <c r="A59" s="126" t="n"/>
      <c r="B59" s="184" t="n"/>
      <c r="C59" s="184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74">
      <c r="A60" s="70" t="inlineStr">
        <is>
          <t>Service Advisor</t>
        </is>
      </c>
      <c r="D60" s="1" t="n"/>
      <c r="E60" s="1" t="n"/>
      <c r="F60" s="1" t="n"/>
      <c r="G60" s="162" t="n"/>
      <c r="H60" s="16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2.75" customHeight="1" s="174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74">
      <c r="A62" s="73" t="inlineStr">
        <is>
          <t>Thank you for trusting us!</t>
        </is>
      </c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30.75" customHeight="1" s="174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7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" customHeight="1" s="174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174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2.75" customHeight="1" s="174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.75" customHeight="1" s="174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174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174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174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74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74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74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74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74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74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74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74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74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74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7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7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7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7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7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7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7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7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7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7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7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7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7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7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7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7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7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7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7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7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7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7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7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7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7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7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7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7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7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7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7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7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7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7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7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7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7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7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7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7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7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7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7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7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7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7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7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7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7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7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7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7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7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7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7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7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7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7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7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7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7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7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7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7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7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7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7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7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7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7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7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7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7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7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7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7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7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7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7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7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7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7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7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7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7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7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7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7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7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7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7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7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7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7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7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7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7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7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7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7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7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7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7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7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7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7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7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7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7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7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7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7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7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7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7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7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7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7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7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7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7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7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7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7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7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7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7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7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7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7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7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7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7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7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7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7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7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7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7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7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7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7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7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7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7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7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7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7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7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7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7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7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7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7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7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7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7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7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7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7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7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7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7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7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7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7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7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7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7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7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7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7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7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7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7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7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7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7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7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7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7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7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7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7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7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7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7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7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7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7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7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7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7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7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7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7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7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7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7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7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7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7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7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7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7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7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7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7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7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7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7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7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7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7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7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7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7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7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7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7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7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7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7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7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7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7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7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7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7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7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7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7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7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7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7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7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7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7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7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7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7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7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7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7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7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7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7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7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7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7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7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7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7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7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7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7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7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7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7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7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7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7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7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7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7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7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7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7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7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7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7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7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7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74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74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74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74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74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74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7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74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74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74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74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74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74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74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74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74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74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74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74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74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74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74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74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74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74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7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74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74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74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74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74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74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74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74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74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7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74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74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74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74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74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74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74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74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74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7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74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74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74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74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74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74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74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74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74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7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74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74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74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74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74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74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74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74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74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7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74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74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74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74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74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74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74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74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74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7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74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74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74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74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74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74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74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74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74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7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74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74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74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74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74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74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74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74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74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7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74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74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74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74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74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74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74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74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74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7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74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74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74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74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74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74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74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74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74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74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74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74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74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74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74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74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74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74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7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74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74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74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74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74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74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74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74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74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7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74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74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74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74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74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74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74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74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74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7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74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74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74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74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74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74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74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74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74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7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74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74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74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74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74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74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74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74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74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7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74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74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74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74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74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74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74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74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74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7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74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74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74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74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74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74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74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74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74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7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74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74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74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74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74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74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74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74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74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7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74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74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74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74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74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74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74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74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74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7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74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74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74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74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74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74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74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74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74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74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74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74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74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74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74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74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74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74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7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74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74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74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74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74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74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74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74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74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7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74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74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74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74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74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74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74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74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74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7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74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74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74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74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74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74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74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74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74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7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74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74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74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74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74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74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74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74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74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7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74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74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74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74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74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74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74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74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74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7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74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74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74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74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74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74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74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74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74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7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74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74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74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74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74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74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74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74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74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7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74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74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74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74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74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74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74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74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74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7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74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74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74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74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74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74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74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74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74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74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74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74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74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74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74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74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74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74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7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74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74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74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74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74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74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74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74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74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7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74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74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74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74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74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74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74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74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74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7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74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74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74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74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74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74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74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74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74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7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74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74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74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74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74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74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74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74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74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7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74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74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74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74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74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74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74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74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74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7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74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74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74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74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74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74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74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74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74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7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74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74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74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74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74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74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74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74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74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7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74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74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74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74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74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74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74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74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74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7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74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74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74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74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74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74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74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74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74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74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74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74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74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74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74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74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74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74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7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74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74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74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74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74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74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74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74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74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7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74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74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74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74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74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74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74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74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74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7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74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74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74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74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74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74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74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74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74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7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74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74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74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74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74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74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74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74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74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7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74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74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74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74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74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74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74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74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74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7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74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74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74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74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74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74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74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74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74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7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74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74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74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74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74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74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74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74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74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7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74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74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74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74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74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74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74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74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74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7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74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74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74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74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74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74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74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74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74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74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74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74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74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74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74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74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74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74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7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74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74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74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74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74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74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74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74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74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7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74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74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74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74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74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74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74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74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74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7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74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74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74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74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74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74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74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74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74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7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74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74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74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74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74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74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74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74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74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7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74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74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74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74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74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74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74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74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74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7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74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74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74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74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74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74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74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74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74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7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74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74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74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74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74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74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74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74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74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7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74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74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74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74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74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74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74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74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74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7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74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74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74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74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74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74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74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74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74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74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74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74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74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74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74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74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74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74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7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74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74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74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74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74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74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74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74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74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7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74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74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74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74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74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74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1">
    <mergeCell ref="A9:H9"/>
    <mergeCell ref="A48:B48"/>
    <mergeCell ref="A24:B24"/>
    <mergeCell ref="G12:H12"/>
    <mergeCell ref="A30:B30"/>
    <mergeCell ref="A49:B49"/>
    <mergeCell ref="G11:H11"/>
    <mergeCell ref="A51:B51"/>
    <mergeCell ref="A45:B45"/>
    <mergeCell ref="A36:B36"/>
    <mergeCell ref="A16:B16"/>
    <mergeCell ref="A25:B25"/>
    <mergeCell ref="A41:B41"/>
    <mergeCell ref="G10:H10"/>
    <mergeCell ref="A37:B37"/>
    <mergeCell ref="A46:B46"/>
    <mergeCell ref="G13:H13"/>
    <mergeCell ref="A18:B18"/>
    <mergeCell ref="A27:B27"/>
    <mergeCell ref="A3:B3"/>
    <mergeCell ref="A50:B50"/>
    <mergeCell ref="A26:B26"/>
    <mergeCell ref="A21:B21"/>
    <mergeCell ref="A55:E57"/>
    <mergeCell ref="B12:E12"/>
    <mergeCell ref="A33:B33"/>
    <mergeCell ref="A47:B47"/>
    <mergeCell ref="A42:B42"/>
    <mergeCell ref="A32:B32"/>
    <mergeCell ref="B11:E11"/>
    <mergeCell ref="A23:B23"/>
    <mergeCell ref="A17:B17"/>
    <mergeCell ref="A59:C59"/>
    <mergeCell ref="A22:B22"/>
    <mergeCell ref="A35:B35"/>
    <mergeCell ref="A20:B20"/>
    <mergeCell ref="A38:B38"/>
    <mergeCell ref="A60:C60"/>
    <mergeCell ref="A62:H62"/>
    <mergeCell ref="A29:B29"/>
    <mergeCell ref="A52:B52"/>
    <mergeCell ref="A43:B43"/>
    <mergeCell ref="B13:E13"/>
    <mergeCell ref="A19:B19"/>
    <mergeCell ref="A28:B28"/>
    <mergeCell ref="A44:B44"/>
    <mergeCell ref="A40:B40"/>
    <mergeCell ref="B10:E10"/>
    <mergeCell ref="A31:B31"/>
    <mergeCell ref="A39:B39"/>
    <mergeCell ref="A34:B34"/>
  </mergeCells>
  <printOptions horizontalCentered="1"/>
  <pageMargins left="0.2660874287265816" right="0.3611186532717894" top="0.5" bottom="0.5" header="0" footer="0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62"/>
  <sheetViews>
    <sheetView workbookViewId="0">
      <selection activeCell="A1" sqref="A1"/>
    </sheetView>
  </sheetViews>
  <sheetFormatPr baseColWidth="8" defaultColWidth="14.43" defaultRowHeight="15" customHeight="1"/>
  <cols>
    <col width="34" customWidth="1" style="174" min="1" max="12"/>
    <col width="4.5" customWidth="1" style="174" min="2" max="2"/>
    <col width="4.5" customWidth="1" style="174" min="3" max="3"/>
    <col width="4.5" customWidth="1" style="174" min="4" max="4"/>
    <col width="2" customWidth="1" style="174" min="5" max="5"/>
    <col width="12" customWidth="1" style="174" min="6" max="6"/>
    <col width="14" customWidth="1" style="174" min="7" max="7"/>
    <col width="14" customWidth="1" style="174" min="8" max="8"/>
    <col width="4.5" customWidth="1" style="174" min="9" max="9"/>
    <col width="4.5" customWidth="1" style="174" min="10" max="10"/>
    <col width="4.5" customWidth="1" style="174" min="11" max="11"/>
    <col width="9" customWidth="1" style="174" min="12" max="12"/>
    <col width="13" customWidth="1" style="174" min="13" max="13"/>
    <col width="9" customWidth="1" style="174" min="14" max="26"/>
  </cols>
  <sheetData>
    <row r="1">
      <c r="A1" s="164" t="inlineStr"/>
      <c r="B1" s="165" t="n"/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</row>
    <row r="2">
      <c r="A2" s="165" t="n"/>
      <c r="B2" s="165" t="n"/>
      <c r="C2" s="165" t="n"/>
      <c r="D2" s="165" t="n"/>
      <c r="E2" s="165" t="n"/>
      <c r="F2" s="165" t="n"/>
      <c r="G2" s="165" t="n"/>
      <c r="H2" s="165" t="n"/>
      <c r="I2" s="165" t="n"/>
      <c r="J2" s="165" t="n"/>
      <c r="K2" s="165" t="n"/>
      <c r="L2" s="165" t="n"/>
      <c r="M2" s="165" t="n"/>
    </row>
    <row r="3">
      <c r="A3" s="165" t="n"/>
      <c r="B3" s="165" t="n"/>
      <c r="C3" s="165" t="n"/>
      <c r="D3" s="165" t="n"/>
      <c r="E3" s="165" t="n"/>
      <c r="F3" s="165" t="n"/>
      <c r="G3" s="165" t="n"/>
      <c r="H3" s="165" t="n"/>
      <c r="I3" s="165" t="n"/>
      <c r="J3" s="165" t="n"/>
      <c r="K3" s="165" t="n"/>
      <c r="L3" s="165" t="n"/>
      <c r="M3" s="165" t="n"/>
    </row>
    <row r="4">
      <c r="A4" s="165" t="n"/>
      <c r="B4" s="165" t="n"/>
      <c r="C4" s="165" t="n"/>
      <c r="D4" s="165" t="n"/>
      <c r="E4" s="165" t="n"/>
      <c r="F4" s="165" t="n"/>
      <c r="G4" s="165" t="n"/>
      <c r="H4" s="165" t="n"/>
      <c r="I4" s="165" t="n"/>
      <c r="J4" s="165" t="n"/>
      <c r="K4" s="165" t="n"/>
      <c r="L4" s="165" t="n"/>
      <c r="M4" s="165" t="n"/>
    </row>
    <row r="5">
      <c r="A5" s="224" t="inlineStr">
        <is>
          <t>CUSTOMER NAME</t>
        </is>
      </c>
      <c r="B5" s="167" t="n"/>
      <c r="C5" s="225">
        <f>Job_Order!C10</f>
        <v/>
      </c>
      <c r="F5" s="165" t="n"/>
      <c r="G5" s="165" t="n"/>
      <c r="H5" s="165" t="n"/>
      <c r="I5" s="165" t="n"/>
      <c r="J5" s="165" t="n"/>
      <c r="K5" s="165" t="n"/>
      <c r="L5" s="224" t="inlineStr">
        <is>
          <t>DATE</t>
        </is>
      </c>
      <c r="M5" s="226">
        <f>Job_Order!K5</f>
        <v/>
      </c>
    </row>
    <row r="6">
      <c r="A6" s="224" t="inlineStr">
        <is>
          <t>PLATE NUMBER</t>
        </is>
      </c>
      <c r="B6" s="167" t="n"/>
      <c r="C6" s="225">
        <f>Job_Order!K10</f>
        <v/>
      </c>
      <c r="F6" s="227" t="inlineStr">
        <is>
          <t>CHECKLIST RESULT</t>
        </is>
      </c>
      <c r="G6" s="167" t="n"/>
      <c r="H6" s="165" t="n"/>
      <c r="I6" s="165" t="n"/>
      <c r="J6" s="165" t="n"/>
      <c r="K6" s="165" t="n"/>
      <c r="L6" s="165" t="n"/>
      <c r="M6" s="165" t="n"/>
    </row>
    <row r="7">
      <c r="A7" s="224" t="inlineStr">
        <is>
          <t>VEHICLE YEAR MODEL</t>
        </is>
      </c>
      <c r="B7" s="167" t="n"/>
      <c r="C7" s="165" t="n"/>
      <c r="D7" s="225">
        <f>Job_Order!H10</f>
        <v/>
      </c>
      <c r="G7" s="165" t="n"/>
      <c r="H7" s="228" t="inlineStr">
        <is>
          <t>FUEL LEVEL:</t>
        </is>
      </c>
      <c r="I7" s="229" t="inlineStr">
        <is>
          <t>E</t>
        </is>
      </c>
      <c r="J7" s="229" t="inlineStr">
        <is>
          <t>1/4</t>
        </is>
      </c>
      <c r="K7" s="229" t="inlineStr">
        <is>
          <t>1/2</t>
        </is>
      </c>
      <c r="L7" s="229" t="inlineStr">
        <is>
          <t>3/4</t>
        </is>
      </c>
      <c r="M7" s="229" t="inlineStr">
        <is>
          <t>F</t>
        </is>
      </c>
    </row>
    <row r="8">
      <c r="A8" s="165" t="n"/>
      <c r="B8" s="165" t="n"/>
      <c r="C8" s="165" t="n"/>
      <c r="D8" s="165" t="n"/>
      <c r="E8" s="165" t="n"/>
      <c r="F8" s="165" t="n"/>
      <c r="G8" s="165" t="n"/>
      <c r="H8" s="165" t="n"/>
      <c r="I8" s="165" t="n"/>
      <c r="J8" s="165" t="n"/>
      <c r="K8" s="165" t="n"/>
      <c r="L8" s="165" t="n"/>
      <c r="M8" s="165" t="n"/>
    </row>
    <row r="9">
      <c r="A9" s="165" t="n"/>
      <c r="B9" s="230" t="inlineStr">
        <is>
          <t>Satisfactory</t>
        </is>
      </c>
      <c r="C9" s="231" t="n"/>
      <c r="D9" s="232" t="inlineStr">
        <is>
          <t>May Require Future Attention</t>
        </is>
      </c>
      <c r="E9" s="231" t="n"/>
      <c r="F9" s="231" t="n"/>
      <c r="G9" s="231" t="n"/>
      <c r="H9" s="233" t="inlineStr">
        <is>
          <t>Requires Immediate Attention</t>
        </is>
      </c>
      <c r="I9" s="231" t="n"/>
      <c r="J9" s="231" t="n"/>
      <c r="K9" s="231" t="n"/>
      <c r="L9" s="165" t="n"/>
      <c r="M9" s="165" t="n"/>
    </row>
    <row r="10">
      <c r="A10" s="165" t="n"/>
      <c r="B10" s="165" t="n"/>
      <c r="C10" s="165" t="n"/>
      <c r="D10" s="165" t="n"/>
      <c r="E10" s="165" t="n"/>
      <c r="F10" s="165" t="n"/>
      <c r="G10" s="165" t="n"/>
      <c r="H10" s="165" t="n"/>
      <c r="I10" s="165" t="n"/>
      <c r="J10" s="165" t="n"/>
      <c r="K10" s="165" t="n"/>
      <c r="L10" s="165" t="n"/>
      <c r="M10" s="165" t="n"/>
    </row>
    <row r="11">
      <c r="A11" s="234" t="inlineStr">
        <is>
          <t>Interior / Exterior</t>
        </is>
      </c>
      <c r="B11" s="235" t="n"/>
      <c r="C11" s="236" t="n"/>
      <c r="D11" s="237" t="n"/>
      <c r="E11" s="165" t="n"/>
      <c r="F11" s="238" t="inlineStr">
        <is>
          <t>Tire Condition</t>
        </is>
      </c>
      <c r="G11" s="231" t="n"/>
      <c r="H11" s="231" t="n"/>
      <c r="I11" s="235" t="n"/>
      <c r="J11" s="236" t="n"/>
      <c r="K11" s="237" t="n"/>
      <c r="L11" s="165" t="n"/>
      <c r="M11" s="165" t="n"/>
    </row>
    <row r="12">
      <c r="A12" s="239" t="inlineStr">
        <is>
          <t>Headlights (high/low)/Taillights/Brake lights/Hazards/Signals</t>
        </is>
      </c>
      <c r="B12" s="240" t="n"/>
      <c r="C12" s="240" t="n"/>
      <c r="D12" s="240" t="n"/>
      <c r="E12" s="165" t="n"/>
      <c r="F12" s="241" t="inlineStr">
        <is>
          <t>Left Front</t>
        </is>
      </c>
      <c r="G12" s="239" t="inlineStr">
        <is>
          <t>Wear pattern: ____</t>
        </is>
      </c>
      <c r="H12" s="239" t="inlineStr">
        <is>
          <t>Tire tread: ___ 32nds</t>
        </is>
      </c>
      <c r="I12" s="240" t="n"/>
      <c r="J12" s="240" t="n"/>
      <c r="K12" s="240" t="n"/>
      <c r="L12" s="165" t="n"/>
      <c r="M12" s="165" t="n"/>
    </row>
    <row r="13">
      <c r="A13" s="239" t="inlineStr">
        <is>
          <t>Interior light</t>
        </is>
      </c>
      <c r="B13" s="240" t="n"/>
      <c r="C13" s="240" t="n"/>
      <c r="D13" s="240" t="n"/>
      <c r="E13" s="165" t="n"/>
      <c r="F13" s="241" t="inlineStr">
        <is>
          <t>Right Front</t>
        </is>
      </c>
      <c r="G13" s="239" t="inlineStr">
        <is>
          <t>Wear pattern: ____</t>
        </is>
      </c>
      <c r="H13" s="239" t="inlineStr">
        <is>
          <t>Tire tread: ___ 32nds</t>
        </is>
      </c>
      <c r="I13" s="240" t="n"/>
      <c r="J13" s="240" t="n"/>
      <c r="K13" s="240" t="n"/>
      <c r="L13" s="165" t="n"/>
      <c r="M13" s="165" t="n"/>
    </row>
    <row r="14">
      <c r="A14" s="239" t="inlineStr">
        <is>
          <t>Windshield washer spray/Wiper operation/Blades/Condition</t>
        </is>
      </c>
      <c r="B14" s="240" t="n"/>
      <c r="C14" s="240" t="n"/>
      <c r="D14" s="240" t="n"/>
      <c r="E14" s="165" t="n"/>
      <c r="F14" s="241" t="inlineStr">
        <is>
          <t>Left Rear</t>
        </is>
      </c>
      <c r="G14" s="239" t="inlineStr">
        <is>
          <t>Wear pattern: ____</t>
        </is>
      </c>
      <c r="H14" s="239" t="inlineStr">
        <is>
          <t>Tire tread: ___ 32nds</t>
        </is>
      </c>
      <c r="I14" s="240" t="n"/>
      <c r="J14" s="240" t="n"/>
      <c r="K14" s="240" t="n"/>
      <c r="L14" s="165" t="n"/>
      <c r="M14" s="165" t="n"/>
    </row>
    <row r="15">
      <c r="A15" s="239" t="inlineStr">
        <is>
          <t>Parking brake</t>
        </is>
      </c>
      <c r="B15" s="240" t="n"/>
      <c r="C15" s="240" t="n"/>
      <c r="D15" s="240" t="n"/>
      <c r="E15" s="165" t="n"/>
      <c r="F15" s="241" t="inlineStr">
        <is>
          <t>Right Rear</t>
        </is>
      </c>
      <c r="G15" s="239" t="inlineStr">
        <is>
          <t>Wear pattern: ____</t>
        </is>
      </c>
      <c r="H15" s="239" t="inlineStr">
        <is>
          <t>Tire tread: ___ 32nds</t>
        </is>
      </c>
      <c r="I15" s="240" t="n"/>
      <c r="J15" s="240" t="n"/>
      <c r="K15" s="240" t="n"/>
      <c r="L15" s="165" t="n"/>
      <c r="M15" s="165" t="n"/>
    </row>
    <row r="16">
      <c r="A16" s="239" t="inlineStr">
        <is>
          <t>Horn operation</t>
        </is>
      </c>
      <c r="B16" s="240" t="n"/>
      <c r="C16" s="240" t="n"/>
      <c r="D16" s="240" t="n"/>
      <c r="E16" s="165" t="n"/>
      <c r="F16" s="241" t="inlineStr">
        <is>
          <t>Spare</t>
        </is>
      </c>
      <c r="G16" s="239" t="inlineStr">
        <is>
          <t>Wear pattern: ____</t>
        </is>
      </c>
      <c r="H16" s="239" t="inlineStr">
        <is>
          <t>Tire tread: ___ 32nds</t>
        </is>
      </c>
      <c r="I16" s="240" t="n"/>
      <c r="J16" s="240" t="n"/>
      <c r="K16" s="240" t="n"/>
      <c r="L16" s="165" t="n"/>
      <c r="M16" s="165" t="n"/>
    </row>
    <row r="17">
      <c r="A17" s="239" t="inlineStr">
        <is>
          <t>Clutch operation (if applicable)</t>
        </is>
      </c>
      <c r="B17" s="240" t="n"/>
      <c r="C17" s="240" t="n"/>
      <c r="D17" s="240" t="n"/>
      <c r="E17" s="165" t="n"/>
      <c r="F17" s="242" t="inlineStr">
        <is>
          <t>Front tire inflation set to: _______ psi</t>
        </is>
      </c>
      <c r="G17" s="231" t="n"/>
      <c r="H17" s="231" t="n"/>
      <c r="I17" s="165" t="n"/>
      <c r="J17" s="165" t="n"/>
      <c r="K17" s="165" t="n"/>
      <c r="L17" s="165" t="n"/>
      <c r="M17" s="165" t="n"/>
    </row>
    <row r="18">
      <c r="A18" s="239" t="inlineStr">
        <is>
          <t>Micron cabin filter**</t>
        </is>
      </c>
      <c r="B18" s="240" t="n"/>
      <c r="C18" s="240" t="n"/>
      <c r="D18" s="240" t="n"/>
      <c r="E18" s="165" t="n"/>
      <c r="F18" s="242" t="inlineStr">
        <is>
          <t>Rear tire inflation set to: _______ psi</t>
        </is>
      </c>
      <c r="G18" s="231" t="n"/>
      <c r="H18" s="231" t="n"/>
      <c r="I18" s="165" t="n"/>
      <c r="J18" s="165" t="n"/>
      <c r="K18" s="165" t="n"/>
      <c r="L18" s="165" t="n"/>
      <c r="M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</row>
    <row r="20">
      <c r="A20" s="234" t="inlineStr">
        <is>
          <t>Battery Performance</t>
        </is>
      </c>
      <c r="B20" s="235" t="n"/>
      <c r="C20" s="236" t="n"/>
      <c r="D20" s="237" t="n"/>
      <c r="E20" s="165" t="n"/>
      <c r="F20" s="238" t="inlineStr">
        <is>
          <t>Brake Condition</t>
        </is>
      </c>
      <c r="G20" s="231" t="n"/>
      <c r="H20" s="231" t="n"/>
      <c r="I20" s="235" t="n"/>
      <c r="J20" s="236" t="n"/>
      <c r="K20" s="237" t="n"/>
      <c r="L20" s="165" t="n"/>
      <c r="M20" s="165" t="n"/>
    </row>
    <row r="21" ht="15.75" customHeight="1" s="174">
      <c r="A21" s="242" t="inlineStr">
        <is>
          <t>Good</t>
        </is>
      </c>
      <c r="B21" s="240" t="n"/>
      <c r="C21" s="240" t="n"/>
      <c r="D21" s="240" t="n"/>
      <c r="E21" s="165" t="n"/>
      <c r="F21" s="241" t="inlineStr">
        <is>
          <t>Left Front</t>
        </is>
      </c>
      <c r="G21" s="239" t="inlineStr">
        <is>
          <t>Thickness: _____ mms</t>
        </is>
      </c>
      <c r="H21" s="231" t="n"/>
      <c r="I21" s="240" t="n"/>
      <c r="J21" s="240" t="n"/>
      <c r="K21" s="240" t="n"/>
      <c r="L21" s="165" t="n"/>
      <c r="M21" s="165" t="n"/>
    </row>
    <row r="22" ht="15.75" customHeight="1" s="174">
      <c r="A22" s="242" t="inlineStr">
        <is>
          <t>Replace</t>
        </is>
      </c>
      <c r="B22" s="240" t="n"/>
      <c r="C22" s="240" t="n"/>
      <c r="D22" s="240" t="n"/>
      <c r="E22" s="165" t="n"/>
      <c r="F22" s="241" t="inlineStr">
        <is>
          <t>Right Front</t>
        </is>
      </c>
      <c r="G22" s="239" t="inlineStr">
        <is>
          <t>Thickness: _____ mms</t>
        </is>
      </c>
      <c r="H22" s="231" t="n"/>
      <c r="I22" s="240" t="n"/>
      <c r="J22" s="240" t="n"/>
      <c r="K22" s="240" t="n"/>
      <c r="L22" s="165" t="n"/>
      <c r="M22" s="165" t="n"/>
    </row>
    <row r="23" ht="15.75" customHeight="1" s="174">
      <c r="A23" s="165" t="n"/>
      <c r="B23" s="165" t="n"/>
      <c r="C23" s="165" t="n"/>
      <c r="D23" s="165" t="n"/>
      <c r="E23" s="165" t="n"/>
      <c r="F23" s="241" t="inlineStr">
        <is>
          <t>Left Rear</t>
        </is>
      </c>
      <c r="G23" s="239" t="inlineStr">
        <is>
          <t>Thickness: _____ mms</t>
        </is>
      </c>
      <c r="H23" s="231" t="n"/>
      <c r="I23" s="240" t="n"/>
      <c r="J23" s="240" t="n"/>
      <c r="K23" s="240" t="n"/>
      <c r="L23" s="165" t="n"/>
      <c r="M23" s="165" t="n"/>
    </row>
    <row r="24" ht="15.75" customHeight="1" s="174">
      <c r="A24" s="234" t="inlineStr">
        <is>
          <t>Under Hood</t>
        </is>
      </c>
      <c r="B24" s="235" t="n"/>
      <c r="C24" s="236" t="n"/>
      <c r="D24" s="237" t="n"/>
      <c r="E24" s="165" t="n"/>
      <c r="F24" s="241" t="inlineStr">
        <is>
          <t>Right Rear</t>
        </is>
      </c>
      <c r="G24" s="239" t="inlineStr">
        <is>
          <t>Thickness: _____ mms</t>
        </is>
      </c>
      <c r="H24" s="231" t="n"/>
      <c r="I24" s="240" t="n"/>
      <c r="J24" s="240" t="n"/>
      <c r="K24" s="240" t="n"/>
      <c r="L24" s="165" t="n"/>
      <c r="M24" s="165" t="n"/>
    </row>
    <row r="25" ht="15.75" customHeight="1" s="174">
      <c r="A25" s="239" t="inlineStr">
        <is>
          <t>Fluid levels: Oil/Coolant/Power steering/Brake/Washer/ATF</t>
        </is>
      </c>
      <c r="B25" s="240" t="n"/>
      <c r="C25" s="240" t="n"/>
      <c r="D25" s="240" t="n"/>
      <c r="E25" s="165" t="n"/>
      <c r="F25" s="242" t="inlineStr">
        <is>
          <t>Brakes not inspected on this visit  [   ]</t>
        </is>
      </c>
      <c r="G25" s="231" t="n"/>
      <c r="H25" s="231" t="n"/>
      <c r="I25" s="165" t="n"/>
      <c r="J25" s="165" t="n"/>
      <c r="K25" s="165" t="n"/>
      <c r="L25" s="165" t="n"/>
      <c r="M25" s="165" t="n"/>
    </row>
    <row r="26" ht="15.75" customHeight="1" s="174">
      <c r="A26" s="239" t="inlineStr">
        <is>
          <t>Air filter condition**</t>
        </is>
      </c>
      <c r="B26" s="240" t="n"/>
      <c r="C26" s="240" t="n"/>
      <c r="D26" s="240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</row>
    <row r="27" ht="15.75" customHeight="1" s="174">
      <c r="A27" s="239" t="inlineStr">
        <is>
          <t>External drive belts and radiator hoses</t>
        </is>
      </c>
      <c r="B27" s="240" t="n"/>
      <c r="C27" s="240" t="n"/>
      <c r="D27" s="240" t="n"/>
      <c r="E27" s="165" t="n"/>
      <c r="F27" s="243" t="inlineStr">
        <is>
          <t>Please Indicate Areas of External Damage or Wear</t>
        </is>
      </c>
      <c r="G27" s="231" t="n"/>
      <c r="H27" s="231" t="n"/>
      <c r="I27" s="231" t="n"/>
      <c r="J27" s="231" t="n"/>
      <c r="K27" s="231" t="n"/>
      <c r="L27" s="165" t="n"/>
      <c r="M27" s="165" t="n"/>
    </row>
    <row r="28" ht="15.75" customHeight="1" s="174">
      <c r="A28" s="239" t="inlineStr">
        <is>
          <t>Hydraulic clutch reservoir fluid (M/T vehicles)</t>
        </is>
      </c>
      <c r="B28" s="240" t="n"/>
      <c r="C28" s="240" t="n"/>
      <c r="D28" s="240" t="n"/>
      <c r="E28" s="165" t="n"/>
      <c r="F28" s="244" t="n"/>
      <c r="G28" s="245" t="n"/>
      <c r="H28" s="245" t="n"/>
      <c r="I28" s="245" t="n"/>
      <c r="J28" s="245" t="n"/>
      <c r="K28" s="246" t="n"/>
      <c r="L28" s="165" t="n"/>
      <c r="M28" s="165" t="n"/>
    </row>
    <row r="29" ht="15.75" customHeight="1" s="174">
      <c r="A29" s="165" t="n"/>
      <c r="B29" s="165" t="n"/>
      <c r="C29" s="165" t="n"/>
      <c r="D29" s="165" t="n"/>
      <c r="E29" s="165" t="n"/>
      <c r="F29" s="247" t="n"/>
      <c r="G29" s="248" t="n"/>
      <c r="H29" s="248" t="n"/>
      <c r="I29" s="248" t="n"/>
      <c r="J29" s="248" t="n"/>
      <c r="K29" s="249" t="n"/>
      <c r="L29" s="165" t="n"/>
      <c r="M29" s="165" t="n"/>
    </row>
    <row r="30" ht="15.75" customHeight="1" s="174">
      <c r="A30" s="234" t="inlineStr">
        <is>
          <t>Under Vehicle</t>
        </is>
      </c>
      <c r="B30" s="235" t="n"/>
      <c r="C30" s="236" t="n"/>
      <c r="D30" s="237" t="n"/>
      <c r="E30" s="165" t="n"/>
      <c r="F30" s="247" t="n"/>
      <c r="G30" s="248" t="n"/>
      <c r="H30" s="248" t="n"/>
      <c r="I30" s="248" t="n"/>
      <c r="J30" s="248" t="n"/>
      <c r="K30" s="249" t="n"/>
      <c r="L30" s="165" t="n"/>
      <c r="M30" s="165" t="n"/>
    </row>
    <row r="31" ht="15.75" customHeight="1" s="174">
      <c r="A31" s="239" t="inlineStr">
        <is>
          <t>Brake lines / Hoses / Parking brake cable</t>
        </is>
      </c>
      <c r="B31" s="240" t="n"/>
      <c r="C31" s="240" t="n"/>
      <c r="D31" s="240" t="n"/>
      <c r="E31" s="165" t="n"/>
      <c r="F31" s="247" t="n"/>
      <c r="G31" s="248" t="n"/>
      <c r="H31" s="248" t="n"/>
      <c r="I31" s="248" t="n"/>
      <c r="J31" s="248" t="n"/>
      <c r="K31" s="249" t="n"/>
      <c r="L31" s="165" t="n"/>
      <c r="M31" s="165" t="n"/>
    </row>
    <row r="32" ht="15.75" customHeight="1" s="174">
      <c r="A32" s="239" t="inlineStr">
        <is>
          <t>Shock absorbers / Struts / Suspension / Tie rod ends &amp; boots</t>
        </is>
      </c>
      <c r="B32" s="240" t="n"/>
      <c r="C32" s="240" t="n"/>
      <c r="D32" s="240" t="n"/>
      <c r="E32" s="165" t="n"/>
      <c r="F32" s="247" t="n"/>
      <c r="G32" s="248" t="n"/>
      <c r="H32" s="248" t="n"/>
      <c r="I32" s="248" t="n"/>
      <c r="J32" s="248" t="n"/>
      <c r="K32" s="249" t="n"/>
      <c r="L32" s="165" t="n"/>
      <c r="M32" s="165" t="n"/>
    </row>
    <row r="33" ht="15.75" customHeight="1" s="174">
      <c r="A33" s="239" t="inlineStr">
        <is>
          <t>Exhaust system</t>
        </is>
      </c>
      <c r="B33" s="240" t="n"/>
      <c r="C33" s="240" t="n"/>
      <c r="D33" s="240" t="n"/>
      <c r="E33" s="165" t="n"/>
      <c r="F33" s="247" t="n"/>
      <c r="G33" s="248" t="n"/>
      <c r="H33" s="248" t="n"/>
      <c r="I33" s="248" t="n"/>
      <c r="J33" s="248" t="n"/>
      <c r="K33" s="249" t="n"/>
      <c r="L33" s="165" t="n"/>
      <c r="M33" s="165" t="n"/>
    </row>
    <row r="34" ht="15.75" customHeight="1" s="174">
      <c r="A34" s="239" t="inlineStr">
        <is>
          <t>Engine oil and/or fluid leaks</t>
        </is>
      </c>
      <c r="B34" s="240" t="n"/>
      <c r="C34" s="240" t="n"/>
      <c r="D34" s="240" t="n"/>
      <c r="E34" s="165" t="n"/>
      <c r="F34" s="247" t="n"/>
      <c r="G34" s="248" t="n"/>
      <c r="H34" s="248" t="n"/>
      <c r="I34" s="248" t="n"/>
      <c r="J34" s="248" t="n"/>
      <c r="K34" s="249" t="n"/>
      <c r="L34" s="165" t="n"/>
      <c r="M34" s="165" t="n"/>
    </row>
    <row r="35" ht="15.75" customHeight="1" s="174">
      <c r="A35" s="239" t="inlineStr">
        <is>
          <t>Drive shaft boots / Constant velocity boots and bands</t>
        </is>
      </c>
      <c r="B35" s="240" t="n"/>
      <c r="C35" s="240" t="n"/>
      <c r="D35" s="240" t="n"/>
      <c r="E35" s="165" t="n"/>
      <c r="F35" s="247" t="n"/>
      <c r="G35" s="248" t="n"/>
      <c r="H35" s="248" t="n"/>
      <c r="I35" s="248" t="n"/>
      <c r="J35" s="248" t="n"/>
      <c r="K35" s="249" t="n"/>
      <c r="L35" s="165" t="n"/>
      <c r="M35" s="165" t="n"/>
    </row>
    <row r="36" ht="15.75" customHeight="1" s="174">
      <c r="A36" s="165" t="n"/>
      <c r="B36" s="165" t="n"/>
      <c r="C36" s="165" t="n"/>
      <c r="D36" s="165" t="n"/>
      <c r="E36" s="165" t="n"/>
      <c r="F36" s="247" t="n"/>
      <c r="G36" s="248" t="n"/>
      <c r="H36" s="248" t="n"/>
      <c r="I36" s="248" t="n"/>
      <c r="J36" s="248" t="n"/>
      <c r="K36" s="249" t="n"/>
      <c r="L36" s="165" t="n"/>
      <c r="M36" s="165" t="n"/>
    </row>
    <row r="37" ht="15.75" customHeight="1" s="174">
      <c r="A37" s="234" t="inlineStr">
        <is>
          <t>Comments</t>
        </is>
      </c>
      <c r="B37" s="250" t="n"/>
      <c r="C37" s="250" t="n"/>
      <c r="D37" s="250" t="n"/>
      <c r="E37" s="165" t="n"/>
      <c r="F37" s="247" t="n"/>
      <c r="G37" s="248" t="n"/>
      <c r="H37" s="248" t="n"/>
      <c r="I37" s="248" t="n"/>
      <c r="J37" s="248" t="n"/>
      <c r="K37" s="249" t="n"/>
      <c r="L37" s="165" t="n"/>
      <c r="M37" s="165" t="n"/>
    </row>
    <row r="38" ht="15.75" customHeight="1" s="174">
      <c r="A38" s="251" t="n"/>
      <c r="B38" s="252" t="n"/>
      <c r="C38" s="252" t="n"/>
      <c r="D38" s="253" t="n"/>
      <c r="E38" s="165" t="n"/>
      <c r="F38" s="247" t="n"/>
      <c r="G38" s="248" t="n"/>
      <c r="H38" s="248" t="n"/>
      <c r="I38" s="248" t="n"/>
      <c r="J38" s="248" t="n"/>
      <c r="K38" s="249" t="n"/>
      <c r="L38" s="165" t="n"/>
      <c r="M38" s="165" t="n"/>
    </row>
    <row r="39" ht="15.75" customHeight="1" s="174">
      <c r="A39" s="251" t="n"/>
      <c r="B39" s="252" t="n"/>
      <c r="C39" s="252" t="n"/>
      <c r="D39" s="253" t="n"/>
      <c r="E39" s="165" t="n"/>
      <c r="F39" s="247" t="n"/>
      <c r="G39" s="248" t="n"/>
      <c r="H39" s="248" t="n"/>
      <c r="I39" s="248" t="n"/>
      <c r="J39" s="248" t="n"/>
      <c r="K39" s="249" t="n"/>
      <c r="L39" s="165" t="n"/>
      <c r="M39" s="165" t="n"/>
    </row>
    <row r="40" ht="15.75" customHeight="1" s="174">
      <c r="A40" s="251" t="n"/>
      <c r="B40" s="252" t="n"/>
      <c r="C40" s="252" t="n"/>
      <c r="D40" s="253" t="n"/>
      <c r="E40" s="165" t="n"/>
      <c r="F40" s="247" t="n"/>
      <c r="G40" s="248" t="n"/>
      <c r="H40" s="248" t="n"/>
      <c r="I40" s="248" t="n"/>
      <c r="J40" s="248" t="n"/>
      <c r="K40" s="249" t="n"/>
      <c r="L40" s="165" t="n"/>
      <c r="M40" s="165" t="n"/>
    </row>
    <row r="41" ht="15.75" customHeight="1" s="174">
      <c r="A41" s="251" t="n"/>
      <c r="B41" s="252" t="n"/>
      <c r="C41" s="252" t="n"/>
      <c r="D41" s="253" t="n"/>
      <c r="E41" s="165" t="n"/>
      <c r="F41" s="247" t="n"/>
      <c r="G41" s="248" t="n"/>
      <c r="H41" s="248" t="n"/>
      <c r="I41" s="248" t="n"/>
      <c r="J41" s="248" t="n"/>
      <c r="K41" s="249" t="n"/>
      <c r="L41" s="165" t="n"/>
      <c r="M41" s="165" t="n"/>
    </row>
    <row r="42" ht="15.75" customHeight="1" s="174">
      <c r="A42" s="251" t="n"/>
      <c r="B42" s="252" t="n"/>
      <c r="C42" s="252" t="n"/>
      <c r="D42" s="253" t="n"/>
      <c r="E42" s="165" t="n"/>
      <c r="F42" s="247" t="n"/>
      <c r="G42" s="248" t="n"/>
      <c r="H42" s="248" t="n"/>
      <c r="I42" s="248" t="n"/>
      <c r="J42" s="248" t="n"/>
      <c r="K42" s="249" t="n"/>
      <c r="L42" s="165" t="n"/>
      <c r="M42" s="165" t="n"/>
    </row>
    <row r="43" ht="15.75" customHeight="1" s="174">
      <c r="A43" s="251" t="n"/>
      <c r="B43" s="252" t="n"/>
      <c r="C43" s="252" t="n"/>
      <c r="D43" s="253" t="n"/>
      <c r="E43" s="165" t="n"/>
      <c r="F43" s="247" t="n"/>
      <c r="G43" s="248" t="n"/>
      <c r="H43" s="248" t="n"/>
      <c r="I43" s="248" t="n"/>
      <c r="J43" s="248" t="n"/>
      <c r="K43" s="249" t="n"/>
      <c r="L43" s="165" t="n"/>
      <c r="M43" s="165" t="n"/>
    </row>
    <row r="44" ht="15.75" customHeight="1" s="174">
      <c r="A44" s="251" t="n"/>
      <c r="B44" s="252" t="n"/>
      <c r="C44" s="252" t="n"/>
      <c r="D44" s="253" t="n"/>
      <c r="E44" s="165" t="n"/>
      <c r="F44" s="254" t="n"/>
      <c r="G44" s="255" t="n"/>
      <c r="H44" s="255" t="n"/>
      <c r="I44" s="255" t="n"/>
      <c r="J44" s="255" t="n"/>
      <c r="K44" s="256" t="n"/>
      <c r="L44" s="165" t="n"/>
      <c r="M44" s="165" t="n"/>
    </row>
    <row r="45" ht="15.75" customHeight="1" s="174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</row>
    <row r="46" ht="15.75" customHeight="1" s="174">
      <c r="A46" s="257" t="inlineStr">
        <is>
          <t>*Note: Brake fluid NOT filled - fluid level indicates pad wear</t>
        </is>
      </c>
      <c r="B46" s="165" t="n"/>
      <c r="C46" s="165" t="n"/>
      <c r="D46" s="165" t="n"/>
      <c r="E46" s="165" t="n"/>
      <c r="F46" s="257" t="inlineStr">
        <is>
          <t>**Refer to maintenance schedule</t>
        </is>
      </c>
      <c r="G46" s="165" t="n"/>
      <c r="H46" s="165" t="n"/>
      <c r="I46" s="165" t="n"/>
      <c r="J46" s="165" t="n"/>
      <c r="K46" s="165" t="n"/>
      <c r="L46" s="165" t="n"/>
      <c r="M46" s="165" t="n"/>
    </row>
    <row r="47" ht="15.75" customHeight="1" s="174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</row>
    <row r="48" ht="15.75" customHeight="1" s="174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</row>
    <row r="49" ht="15.75" customHeight="1" s="174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</row>
    <row r="50" ht="15.75" customHeight="1" s="174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</row>
    <row r="51" ht="15.75" customHeight="1" s="174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</row>
    <row r="52" ht="15.75" customHeight="1" s="174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</row>
    <row r="53" ht="15.75" customHeight="1" s="174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</row>
    <row r="54" ht="15.75" customHeight="1" s="17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</row>
    <row r="55" ht="15.75" customHeight="1" s="174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</row>
    <row r="56" ht="15.75" customHeight="1" s="174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</row>
    <row r="57" ht="15.75" customHeight="1" s="174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</row>
    <row r="58" ht="15.75" customHeight="1" s="174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</row>
    <row r="59" ht="15.75" customHeight="1" s="174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</row>
    <row r="60" ht="15.75" customHeight="1" s="174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</row>
    <row r="61" ht="15.75" customHeight="1" s="174">
      <c r="A61" s="165" t="n"/>
      <c r="B61" s="165" t="n"/>
      <c r="C61" s="165" t="n"/>
      <c r="D61" s="165" t="n">
        <v>0</v>
      </c>
      <c r="E61" s="165" t="n"/>
      <c r="F61" s="165" t="n"/>
      <c r="G61" s="165" t="n"/>
      <c r="H61" s="258">
        <f>Job_Order!C10</f>
        <v/>
      </c>
      <c r="M61" s="165" t="n"/>
    </row>
    <row r="62" ht="15.75" customHeight="1" s="174">
      <c r="A62" s="165" t="n"/>
      <c r="B62" s="224" t="inlineStr">
        <is>
          <t>TECHNICIAN NAME: ____________________</t>
        </is>
      </c>
      <c r="C62" s="165" t="n"/>
      <c r="D62" s="165" t="n"/>
      <c r="E62" s="165" t="n"/>
      <c r="F62" s="165" t="n"/>
      <c r="G62" s="165" t="n"/>
      <c r="H62" s="172" t="n"/>
      <c r="I62" s="259" t="inlineStr">
        <is>
          <t>CUSTOMER SIGNATURE</t>
        </is>
      </c>
      <c r="J62" s="172" t="n"/>
      <c r="K62" s="172" t="n"/>
      <c r="L62" s="172" t="n"/>
      <c r="M62" s="165" t="n"/>
    </row>
    <row r="63" ht="15.75" customHeight="1" s="174"/>
    <row r="64" ht="15.75" customHeight="1" s="174"/>
    <row r="65" ht="15.75" customHeight="1" s="174"/>
    <row r="66" ht="15.75" customHeight="1" s="174"/>
    <row r="67" ht="15.75" customHeight="1" s="174"/>
    <row r="68" ht="15.75" customHeight="1" s="174"/>
    <row r="69" ht="15.75" customHeight="1" s="174"/>
    <row r="70" ht="15.75" customHeight="1" s="174"/>
    <row r="71" ht="15.75" customHeight="1" s="174"/>
    <row r="72" ht="15.75" customHeight="1" s="174"/>
    <row r="73" ht="15.75" customHeight="1" s="174"/>
    <row r="74" ht="15.75" customHeight="1" s="174"/>
    <row r="75" ht="15.75" customHeight="1" s="174"/>
    <row r="76" ht="15.75" customHeight="1" s="174"/>
    <row r="77" ht="15.75" customHeight="1" s="174"/>
    <row r="78" ht="15.75" customHeight="1" s="174"/>
    <row r="79" ht="15.75" customHeight="1" s="174"/>
    <row r="80" ht="15.75" customHeight="1" s="174"/>
    <row r="81" ht="15.75" customHeight="1" s="174"/>
    <row r="82" ht="15.75" customHeight="1" s="174"/>
    <row r="83" ht="15.75" customHeight="1" s="174"/>
    <row r="84" ht="15.75" customHeight="1" s="174"/>
    <row r="85" ht="15.75" customHeight="1" s="174"/>
    <row r="86" ht="15.75" customHeight="1" s="174"/>
    <row r="87" ht="15.75" customHeight="1" s="174"/>
    <row r="88" ht="15.75" customHeight="1" s="174"/>
    <row r="89" ht="15.75" customHeight="1" s="174"/>
    <row r="90" ht="15.75" customHeight="1" s="174"/>
    <row r="91" ht="15.75" customHeight="1" s="174"/>
    <row r="92" ht="15.75" customHeight="1" s="174"/>
    <row r="93" ht="15.75" customHeight="1" s="174"/>
    <row r="94" ht="15.75" customHeight="1" s="174"/>
    <row r="95" ht="15.75" customHeight="1" s="174"/>
    <row r="96" ht="15.75" customHeight="1" s="174"/>
    <row r="97" ht="15.75" customHeight="1" s="174"/>
    <row r="98" ht="15.75" customHeight="1" s="174"/>
    <row r="99" ht="15.75" customHeight="1" s="174"/>
    <row r="100" ht="15.75" customHeight="1" s="174"/>
    <row r="101" ht="15.75" customHeight="1" s="174"/>
    <row r="102" ht="15.75" customHeight="1" s="174"/>
    <row r="103" ht="15.75" customHeight="1" s="174"/>
    <row r="104" ht="15.75" customHeight="1" s="174"/>
    <row r="105" ht="15.75" customHeight="1" s="174"/>
    <row r="106" ht="15.75" customHeight="1" s="174"/>
    <row r="107" ht="15.75" customHeight="1" s="174"/>
    <row r="108" ht="15.75" customHeight="1" s="174"/>
    <row r="109" ht="15.75" customHeight="1" s="174"/>
    <row r="110" ht="15.75" customHeight="1" s="174"/>
    <row r="111" ht="15.75" customHeight="1" s="174"/>
    <row r="112" ht="15.75" customHeight="1" s="174"/>
    <row r="113" ht="15.75" customHeight="1" s="174"/>
    <row r="114" ht="15.75" customHeight="1" s="174"/>
    <row r="115" ht="15.75" customHeight="1" s="174"/>
    <row r="116" ht="15.75" customHeight="1" s="174"/>
    <row r="117" ht="15.75" customHeight="1" s="174"/>
    <row r="118" ht="15.75" customHeight="1" s="174"/>
    <row r="119" ht="15.75" customHeight="1" s="174"/>
    <row r="120" ht="15.75" customHeight="1" s="174"/>
    <row r="121" ht="15.75" customHeight="1" s="174"/>
    <row r="122" ht="15.75" customHeight="1" s="174"/>
    <row r="123" ht="15.75" customHeight="1" s="174"/>
    <row r="124" ht="15.75" customHeight="1" s="174"/>
    <row r="125" ht="15.75" customHeight="1" s="174"/>
    <row r="126" ht="15.75" customHeight="1" s="174"/>
    <row r="127" ht="15.75" customHeight="1" s="174"/>
    <row r="128" ht="15.75" customHeight="1" s="174"/>
    <row r="129" ht="15.75" customHeight="1" s="174"/>
    <row r="130" ht="15.75" customHeight="1" s="174"/>
    <row r="131" ht="15.75" customHeight="1" s="174"/>
    <row r="132" ht="15.75" customHeight="1" s="174"/>
    <row r="133" ht="15.75" customHeight="1" s="174"/>
    <row r="134" ht="15.75" customHeight="1" s="174"/>
    <row r="135" ht="15.75" customHeight="1" s="174"/>
    <row r="136" ht="15.75" customHeight="1" s="174"/>
    <row r="137" ht="15.75" customHeight="1" s="174"/>
    <row r="138" ht="15.75" customHeight="1" s="174"/>
    <row r="139" ht="15.75" customHeight="1" s="174"/>
    <row r="140" ht="15.75" customHeight="1" s="174"/>
    <row r="141" ht="15.75" customHeight="1" s="174"/>
    <row r="142" ht="15.75" customHeight="1" s="174"/>
    <row r="143" ht="15.75" customHeight="1" s="174"/>
    <row r="144" ht="15.75" customHeight="1" s="174"/>
    <row r="145" ht="15.75" customHeight="1" s="174"/>
    <row r="146" ht="15.75" customHeight="1" s="174"/>
    <row r="147" ht="15.75" customHeight="1" s="174"/>
    <row r="148" ht="15.75" customHeight="1" s="174"/>
    <row r="149" ht="15.75" customHeight="1" s="174"/>
    <row r="150" ht="15.75" customHeight="1" s="174"/>
    <row r="151" ht="15.75" customHeight="1" s="174"/>
    <row r="152" ht="15.75" customHeight="1" s="174"/>
    <row r="153" ht="15.75" customHeight="1" s="174"/>
    <row r="154" ht="15.75" customHeight="1" s="174"/>
    <row r="155" ht="15.75" customHeight="1" s="174"/>
    <row r="156" ht="15.75" customHeight="1" s="174"/>
    <row r="157" ht="15.75" customHeight="1" s="174"/>
    <row r="158" ht="15.75" customHeight="1" s="174"/>
    <row r="159" ht="15.75" customHeight="1" s="174"/>
    <row r="160" ht="15.75" customHeight="1" s="174"/>
    <row r="161" ht="15.75" customHeight="1" s="174"/>
    <row r="162" ht="15.75" customHeight="1" s="174"/>
    <row r="163" ht="15.75" customHeight="1" s="174"/>
    <row r="164" ht="15.75" customHeight="1" s="174"/>
    <row r="165" ht="15.75" customHeight="1" s="174"/>
    <row r="166" ht="15.75" customHeight="1" s="174"/>
    <row r="167" ht="15.75" customHeight="1" s="174"/>
    <row r="168" ht="15.75" customHeight="1" s="174"/>
    <row r="169" ht="15.75" customHeight="1" s="174"/>
    <row r="170" ht="15.75" customHeight="1" s="174"/>
    <row r="171" ht="15.75" customHeight="1" s="174"/>
    <row r="172" ht="15.75" customHeight="1" s="174"/>
    <row r="173" ht="15.75" customHeight="1" s="174"/>
    <row r="174" ht="15.75" customHeight="1" s="174"/>
    <row r="175" ht="15.75" customHeight="1" s="174"/>
    <row r="176" ht="15.75" customHeight="1" s="174"/>
    <row r="177" ht="15.75" customHeight="1" s="174"/>
    <row r="178" ht="15.75" customHeight="1" s="174"/>
    <row r="179" ht="15.75" customHeight="1" s="174"/>
    <row r="180" ht="15.75" customHeight="1" s="174"/>
    <row r="181" ht="15.75" customHeight="1" s="174"/>
    <row r="182" ht="15.75" customHeight="1" s="174"/>
    <row r="183" ht="15.75" customHeight="1" s="174"/>
    <row r="184" ht="15.75" customHeight="1" s="174"/>
    <row r="185" ht="15.75" customHeight="1" s="174"/>
    <row r="186" ht="15.75" customHeight="1" s="174"/>
    <row r="187" ht="15.75" customHeight="1" s="174"/>
    <row r="188" ht="15.75" customHeight="1" s="174"/>
    <row r="189" ht="15.75" customHeight="1" s="174"/>
    <row r="190" ht="15.75" customHeight="1" s="174"/>
    <row r="191" ht="15.75" customHeight="1" s="174"/>
    <row r="192" ht="15.75" customHeight="1" s="174"/>
    <row r="193" ht="15.75" customHeight="1" s="174"/>
    <row r="194" ht="15.75" customHeight="1" s="174"/>
    <row r="195" ht="15.75" customHeight="1" s="174"/>
    <row r="196" ht="15.75" customHeight="1" s="174"/>
    <row r="197" ht="15.75" customHeight="1" s="174"/>
    <row r="198" ht="15.75" customHeight="1" s="174"/>
    <row r="199" ht="15.75" customHeight="1" s="174"/>
    <row r="200" ht="15.75" customHeight="1" s="174"/>
    <row r="201" ht="15.75" customHeight="1" s="174"/>
    <row r="202" ht="15.75" customHeight="1" s="174"/>
    <row r="203" ht="15.75" customHeight="1" s="174"/>
    <row r="204" ht="15.75" customHeight="1" s="174"/>
    <row r="205" ht="15.75" customHeight="1" s="174"/>
    <row r="206" ht="15.75" customHeight="1" s="174"/>
    <row r="207" ht="15.75" customHeight="1" s="174"/>
    <row r="208" ht="15.75" customHeight="1" s="174"/>
    <row r="209" ht="15.75" customHeight="1" s="174"/>
    <row r="210" ht="15.75" customHeight="1" s="174"/>
    <row r="211" ht="15.75" customHeight="1" s="174"/>
    <row r="212" ht="15.75" customHeight="1" s="174"/>
    <row r="213" ht="15.75" customHeight="1" s="174"/>
    <row r="214" ht="15.75" customHeight="1" s="174"/>
    <row r="215" ht="15.75" customHeight="1" s="174"/>
    <row r="216" ht="15.75" customHeight="1" s="174"/>
    <row r="217" ht="15.75" customHeight="1" s="174"/>
    <row r="218" ht="15.75" customHeight="1" s="174"/>
    <row r="219" ht="15.75" customHeight="1" s="174"/>
    <row r="220" ht="15.75" customHeight="1" s="174"/>
    <row r="221" ht="15.75" customHeight="1" s="174"/>
    <row r="222" ht="15.75" customHeight="1" s="174"/>
    <row r="223" ht="15.75" customHeight="1" s="174"/>
    <row r="224" ht="15.75" customHeight="1" s="174"/>
    <row r="225" ht="15.75" customHeight="1" s="174"/>
    <row r="226" ht="15.75" customHeight="1" s="174"/>
    <row r="227" ht="15.75" customHeight="1" s="174"/>
    <row r="228" ht="15.75" customHeight="1" s="174"/>
    <row r="229" ht="15.75" customHeight="1" s="174"/>
    <row r="230" ht="15.75" customHeight="1" s="174"/>
    <row r="231" ht="15.75" customHeight="1" s="174"/>
    <row r="232" ht="15.75" customHeight="1" s="174"/>
    <row r="233" ht="15.75" customHeight="1" s="174"/>
    <row r="234" ht="15.75" customHeight="1" s="174"/>
    <row r="235" ht="15.75" customHeight="1" s="174"/>
    <row r="236" ht="15.75" customHeight="1" s="174"/>
    <row r="237" ht="15.75" customHeight="1" s="174"/>
    <row r="238" ht="15.75" customHeight="1" s="174"/>
    <row r="239" ht="15.75" customHeight="1" s="174"/>
    <row r="240" ht="15.75" customHeight="1" s="174"/>
    <row r="241" ht="15.75" customHeight="1" s="174"/>
    <row r="242" ht="15.75" customHeight="1" s="174"/>
    <row r="243" ht="15.75" customHeight="1" s="174"/>
    <row r="244" ht="15.75" customHeight="1" s="174"/>
    <row r="245" ht="15.75" customHeight="1" s="174"/>
    <row r="246" ht="15.75" customHeight="1" s="174"/>
    <row r="247" ht="15.75" customHeight="1" s="174"/>
    <row r="248" ht="15.75" customHeight="1" s="174"/>
    <row r="249" ht="15.75" customHeight="1" s="174"/>
    <row r="250" ht="15.75" customHeight="1" s="174"/>
    <row r="251" ht="15.75" customHeight="1" s="174"/>
    <row r="252" ht="15.75" customHeight="1" s="174"/>
    <row r="253" ht="15.75" customHeight="1" s="174"/>
    <row r="254" ht="15.75" customHeight="1" s="174"/>
    <row r="255" ht="15.75" customHeight="1" s="174"/>
    <row r="256" ht="15.75" customHeight="1" s="174"/>
    <row r="257" ht="15.75" customHeight="1" s="174"/>
    <row r="258" ht="15.75" customHeight="1" s="174"/>
    <row r="259" ht="15.75" customHeight="1" s="174"/>
    <row r="260" ht="15.75" customHeight="1" s="174"/>
    <row r="261" ht="15.75" customHeight="1" s="174"/>
    <row r="262" ht="15.75" customHeight="1" s="174"/>
    <row r="263" ht="15.75" customHeight="1" s="174"/>
    <row r="264" ht="15.75" customHeight="1" s="174"/>
    <row r="265" ht="15.75" customHeight="1" s="174"/>
    <row r="266" ht="15.75" customHeight="1" s="174"/>
    <row r="267" ht="15.75" customHeight="1" s="174"/>
    <row r="268" ht="15.75" customHeight="1" s="174"/>
    <row r="269" ht="15.75" customHeight="1" s="174"/>
    <row r="270" ht="15.75" customHeight="1" s="174"/>
    <row r="271" ht="15.75" customHeight="1" s="174"/>
    <row r="272" ht="15.75" customHeight="1" s="174"/>
    <row r="273" ht="15.75" customHeight="1" s="174"/>
    <row r="274" ht="15.75" customHeight="1" s="174"/>
    <row r="275" ht="15.75" customHeight="1" s="174"/>
    <row r="276" ht="15.75" customHeight="1" s="174"/>
    <row r="277" ht="15.75" customHeight="1" s="174"/>
    <row r="278" ht="15.75" customHeight="1" s="174"/>
    <row r="279" ht="15.75" customHeight="1" s="174"/>
    <row r="280" ht="15.75" customHeight="1" s="174"/>
    <row r="281" ht="15.75" customHeight="1" s="174"/>
    <row r="282" ht="15.75" customHeight="1" s="174"/>
    <row r="283" ht="15.75" customHeight="1" s="174"/>
    <row r="284" ht="15.75" customHeight="1" s="174"/>
    <row r="285" ht="15.75" customHeight="1" s="174"/>
    <row r="286" ht="15.75" customHeight="1" s="174"/>
    <row r="287" ht="15.75" customHeight="1" s="174"/>
    <row r="288" ht="15.75" customHeight="1" s="174"/>
    <row r="289" ht="15.75" customHeight="1" s="174"/>
    <row r="290" ht="15.75" customHeight="1" s="174"/>
    <row r="291" ht="15.75" customHeight="1" s="174"/>
    <row r="292" ht="15.75" customHeight="1" s="174"/>
    <row r="293" ht="15.75" customHeight="1" s="174"/>
    <row r="294" ht="15.75" customHeight="1" s="174"/>
    <row r="295" ht="15.75" customHeight="1" s="174"/>
    <row r="296" ht="15.75" customHeight="1" s="174"/>
    <row r="297" ht="15.75" customHeight="1" s="174"/>
    <row r="298" ht="15.75" customHeight="1" s="174"/>
    <row r="299" ht="15.75" customHeight="1" s="174"/>
    <row r="300" ht="15.75" customHeight="1" s="174"/>
    <row r="301" ht="15.75" customHeight="1" s="174"/>
    <row r="302" ht="15.75" customHeight="1" s="174"/>
    <row r="303" ht="15.75" customHeight="1" s="174"/>
    <row r="304" ht="15.75" customHeight="1" s="174"/>
    <row r="305" ht="15.75" customHeight="1" s="174"/>
    <row r="306" ht="15.75" customHeight="1" s="174"/>
    <row r="307" ht="15.75" customHeight="1" s="174"/>
    <row r="308" ht="15.75" customHeight="1" s="174"/>
    <row r="309" ht="15.75" customHeight="1" s="174"/>
    <row r="310" ht="15.75" customHeight="1" s="174"/>
    <row r="311" ht="15.75" customHeight="1" s="174"/>
    <row r="312" ht="15.75" customHeight="1" s="174"/>
    <row r="313" ht="15.75" customHeight="1" s="174"/>
    <row r="314" ht="15.75" customHeight="1" s="174"/>
    <row r="315" ht="15.75" customHeight="1" s="174"/>
    <row r="316" ht="15.75" customHeight="1" s="174"/>
    <row r="317" ht="15.75" customHeight="1" s="174"/>
    <row r="318" ht="15.75" customHeight="1" s="174"/>
    <row r="319" ht="15.75" customHeight="1" s="174"/>
    <row r="320" ht="15.75" customHeight="1" s="174"/>
    <row r="321" ht="15.75" customHeight="1" s="174"/>
    <row r="322" ht="15.75" customHeight="1" s="174"/>
    <row r="323" ht="15.75" customHeight="1" s="174"/>
    <row r="324" ht="15.75" customHeight="1" s="174"/>
    <row r="325" ht="15.75" customHeight="1" s="174"/>
    <row r="326" ht="15.75" customHeight="1" s="174"/>
    <row r="327" ht="15.75" customHeight="1" s="174"/>
    <row r="328" ht="15.75" customHeight="1" s="174"/>
    <row r="329" ht="15.75" customHeight="1" s="174"/>
    <row r="330" ht="15.75" customHeight="1" s="174"/>
    <row r="331" ht="15.75" customHeight="1" s="174"/>
    <row r="332" ht="15.75" customHeight="1" s="174"/>
    <row r="333" ht="15.75" customHeight="1" s="174"/>
    <row r="334" ht="15.75" customHeight="1" s="174"/>
    <row r="335" ht="15.75" customHeight="1" s="174"/>
    <row r="336" ht="15.75" customHeight="1" s="174"/>
    <row r="337" ht="15.75" customHeight="1" s="174"/>
    <row r="338" ht="15.75" customHeight="1" s="174"/>
    <row r="339" ht="15.75" customHeight="1" s="174"/>
    <row r="340" ht="15.75" customHeight="1" s="174"/>
    <row r="341" ht="15.75" customHeight="1" s="174"/>
    <row r="342" ht="15.75" customHeight="1" s="174"/>
    <row r="343" ht="15.75" customHeight="1" s="174"/>
    <row r="344" ht="15.75" customHeight="1" s="174"/>
    <row r="345" ht="15.75" customHeight="1" s="174"/>
    <row r="346" ht="15.75" customHeight="1" s="174"/>
    <row r="347" ht="15.75" customHeight="1" s="174"/>
    <row r="348" ht="15.75" customHeight="1" s="174"/>
    <row r="349" ht="15.75" customHeight="1" s="174"/>
    <row r="350" ht="15.75" customHeight="1" s="174"/>
    <row r="351" ht="15.75" customHeight="1" s="174"/>
    <row r="352" ht="15.75" customHeight="1" s="174"/>
    <row r="353" ht="15.75" customHeight="1" s="174"/>
    <row r="354" ht="15.75" customHeight="1" s="174"/>
    <row r="355" ht="15.75" customHeight="1" s="174"/>
    <row r="356" ht="15.75" customHeight="1" s="174"/>
    <row r="357" ht="15.75" customHeight="1" s="174"/>
    <row r="358" ht="15.75" customHeight="1" s="174"/>
    <row r="359" ht="15.75" customHeight="1" s="174"/>
    <row r="360" ht="15.75" customHeight="1" s="174"/>
    <row r="361" ht="15.75" customHeight="1" s="174"/>
    <row r="362" ht="15.75" customHeight="1" s="174"/>
    <row r="363" ht="15.75" customHeight="1" s="174"/>
    <row r="364" ht="15.75" customHeight="1" s="174"/>
    <row r="365" ht="15.75" customHeight="1" s="174"/>
    <row r="366" ht="15.75" customHeight="1" s="174"/>
    <row r="367" ht="15.75" customHeight="1" s="174"/>
    <row r="368" ht="15.75" customHeight="1" s="174"/>
    <row r="369" ht="15.75" customHeight="1" s="174"/>
    <row r="370" ht="15.75" customHeight="1" s="174"/>
    <row r="371" ht="15.75" customHeight="1" s="174"/>
    <row r="372" ht="15.75" customHeight="1" s="174"/>
    <row r="373" ht="15.75" customHeight="1" s="174"/>
    <row r="374" ht="15.75" customHeight="1" s="174"/>
    <row r="375" ht="15.75" customHeight="1" s="174"/>
    <row r="376" ht="15.75" customHeight="1" s="174"/>
    <row r="377" ht="15.75" customHeight="1" s="174"/>
    <row r="378" ht="15.75" customHeight="1" s="174"/>
    <row r="379" ht="15.75" customHeight="1" s="174"/>
    <row r="380" ht="15.75" customHeight="1" s="174"/>
    <row r="381" ht="15.75" customHeight="1" s="174"/>
    <row r="382" ht="15.75" customHeight="1" s="174"/>
    <row r="383" ht="15.75" customHeight="1" s="174"/>
    <row r="384" ht="15.75" customHeight="1" s="174"/>
    <row r="385" ht="15.75" customHeight="1" s="174"/>
    <row r="386" ht="15.75" customHeight="1" s="174"/>
    <row r="387" ht="15.75" customHeight="1" s="174"/>
    <row r="388" ht="15.75" customHeight="1" s="174"/>
    <row r="389" ht="15.75" customHeight="1" s="174"/>
    <row r="390" ht="15.75" customHeight="1" s="174"/>
    <row r="391" ht="15.75" customHeight="1" s="174"/>
    <row r="392" ht="15.75" customHeight="1" s="174"/>
    <row r="393" ht="15.75" customHeight="1" s="174"/>
    <row r="394" ht="15.75" customHeight="1" s="174"/>
    <row r="395" ht="15.75" customHeight="1" s="174"/>
    <row r="396" ht="15.75" customHeight="1" s="174"/>
    <row r="397" ht="15.75" customHeight="1" s="174"/>
    <row r="398" ht="15.75" customHeight="1" s="174"/>
    <row r="399" ht="15.75" customHeight="1" s="174"/>
    <row r="400" ht="15.75" customHeight="1" s="174"/>
    <row r="401" ht="15.75" customHeight="1" s="174"/>
    <row r="402" ht="15.75" customHeight="1" s="174"/>
    <row r="403" ht="15.75" customHeight="1" s="174"/>
    <row r="404" ht="15.75" customHeight="1" s="174"/>
    <row r="405" ht="15.75" customHeight="1" s="174"/>
    <row r="406" ht="15.75" customHeight="1" s="174"/>
    <row r="407" ht="15.75" customHeight="1" s="174"/>
    <row r="408" ht="15.75" customHeight="1" s="174"/>
    <row r="409" ht="15.75" customHeight="1" s="174"/>
    <row r="410" ht="15.75" customHeight="1" s="174"/>
    <row r="411" ht="15.75" customHeight="1" s="174"/>
    <row r="412" ht="15.75" customHeight="1" s="174"/>
    <row r="413" ht="15.75" customHeight="1" s="174"/>
    <row r="414" ht="15.75" customHeight="1" s="174"/>
    <row r="415" ht="15.75" customHeight="1" s="174"/>
    <row r="416" ht="15.75" customHeight="1" s="174"/>
    <row r="417" ht="15.75" customHeight="1" s="174"/>
    <row r="418" ht="15.75" customHeight="1" s="174"/>
    <row r="419" ht="15.75" customHeight="1" s="174"/>
    <row r="420" ht="15.75" customHeight="1" s="174"/>
    <row r="421" ht="15.75" customHeight="1" s="174"/>
    <row r="422" ht="15.75" customHeight="1" s="174"/>
    <row r="423" ht="15.75" customHeight="1" s="174"/>
    <row r="424" ht="15.75" customHeight="1" s="174"/>
    <row r="425" ht="15.75" customHeight="1" s="174"/>
    <row r="426" ht="15.75" customHeight="1" s="174"/>
    <row r="427" ht="15.75" customHeight="1" s="174"/>
    <row r="428" ht="15.75" customHeight="1" s="174"/>
    <row r="429" ht="15.75" customHeight="1" s="174"/>
    <row r="430" ht="15.75" customHeight="1" s="174"/>
    <row r="431" ht="15.75" customHeight="1" s="174"/>
    <row r="432" ht="15.75" customHeight="1" s="174"/>
    <row r="433" ht="15.75" customHeight="1" s="174"/>
    <row r="434" ht="15.75" customHeight="1" s="174"/>
    <row r="435" ht="15.75" customHeight="1" s="174"/>
    <row r="436" ht="15.75" customHeight="1" s="174"/>
    <row r="437" ht="15.75" customHeight="1" s="174"/>
    <row r="438" ht="15.75" customHeight="1" s="174"/>
    <row r="439" ht="15.75" customHeight="1" s="174"/>
    <row r="440" ht="15.75" customHeight="1" s="174"/>
    <row r="441" ht="15.75" customHeight="1" s="174"/>
    <row r="442" ht="15.75" customHeight="1" s="174"/>
    <row r="443" ht="15.75" customHeight="1" s="174"/>
    <row r="444" ht="15.75" customHeight="1" s="174"/>
    <row r="445" ht="15.75" customHeight="1" s="174"/>
    <row r="446" ht="15.75" customHeight="1" s="174"/>
    <row r="447" ht="15.75" customHeight="1" s="174"/>
    <row r="448" ht="15.75" customHeight="1" s="174"/>
    <row r="449" ht="15.75" customHeight="1" s="174"/>
    <row r="450" ht="15.75" customHeight="1" s="174"/>
    <row r="451" ht="15.75" customHeight="1" s="174"/>
    <row r="452" ht="15.75" customHeight="1" s="174"/>
    <row r="453" ht="15.75" customHeight="1" s="174"/>
    <row r="454" ht="15.75" customHeight="1" s="174"/>
    <row r="455" ht="15.75" customHeight="1" s="174"/>
    <row r="456" ht="15.75" customHeight="1" s="174"/>
    <row r="457" ht="15.75" customHeight="1" s="174"/>
    <row r="458" ht="15.75" customHeight="1" s="174"/>
    <row r="459" ht="15.75" customHeight="1" s="174"/>
    <row r="460" ht="15.75" customHeight="1" s="174"/>
    <row r="461" ht="15.75" customHeight="1" s="174"/>
    <row r="462" ht="15.75" customHeight="1" s="174"/>
    <row r="463" ht="15.75" customHeight="1" s="174"/>
    <row r="464" ht="15.75" customHeight="1" s="174"/>
    <row r="465" ht="15.75" customHeight="1" s="174"/>
    <row r="466" ht="15.75" customHeight="1" s="174"/>
    <row r="467" ht="15.75" customHeight="1" s="174"/>
    <row r="468" ht="15.75" customHeight="1" s="174"/>
    <row r="469" ht="15.75" customHeight="1" s="174"/>
    <row r="470" ht="15.75" customHeight="1" s="174"/>
    <row r="471" ht="15.75" customHeight="1" s="174"/>
    <row r="472" ht="15.75" customHeight="1" s="174"/>
    <row r="473" ht="15.75" customHeight="1" s="174"/>
    <row r="474" ht="15.75" customHeight="1" s="174"/>
    <row r="475" ht="15.75" customHeight="1" s="174"/>
    <row r="476" ht="15.75" customHeight="1" s="174"/>
    <row r="477" ht="15.75" customHeight="1" s="174"/>
    <row r="478" ht="15.75" customHeight="1" s="174"/>
    <row r="479" ht="15.75" customHeight="1" s="174"/>
    <row r="480" ht="15.75" customHeight="1" s="174"/>
    <row r="481" ht="15.75" customHeight="1" s="174"/>
    <row r="482" ht="15.75" customHeight="1" s="174"/>
    <row r="483" ht="15.75" customHeight="1" s="174"/>
    <row r="484" ht="15.75" customHeight="1" s="174"/>
    <row r="485" ht="15.75" customHeight="1" s="174"/>
    <row r="486" ht="15.75" customHeight="1" s="174"/>
    <row r="487" ht="15.75" customHeight="1" s="174"/>
    <row r="488" ht="15.75" customHeight="1" s="174"/>
    <row r="489" ht="15.75" customHeight="1" s="174"/>
    <row r="490" ht="15.75" customHeight="1" s="174"/>
    <row r="491" ht="15.75" customHeight="1" s="174"/>
    <row r="492" ht="15.75" customHeight="1" s="174"/>
    <row r="493" ht="15.75" customHeight="1" s="174"/>
    <row r="494" ht="15.75" customHeight="1" s="174"/>
    <row r="495" ht="15.75" customHeight="1" s="174"/>
    <row r="496" ht="15.75" customHeight="1" s="174"/>
    <row r="497" ht="15.75" customHeight="1" s="174"/>
    <row r="498" ht="15.75" customHeight="1" s="174"/>
    <row r="499" ht="15.75" customHeight="1" s="174"/>
    <row r="500" ht="15.75" customHeight="1" s="174"/>
    <row r="501" ht="15.75" customHeight="1" s="174"/>
    <row r="502" ht="15.75" customHeight="1" s="174"/>
    <row r="503" ht="15.75" customHeight="1" s="174"/>
    <row r="504" ht="15.75" customHeight="1" s="174"/>
    <row r="505" ht="15.75" customHeight="1" s="174"/>
    <row r="506" ht="15.75" customHeight="1" s="174"/>
    <row r="507" ht="15.75" customHeight="1" s="174"/>
    <row r="508" ht="15.75" customHeight="1" s="174"/>
    <row r="509" ht="15.75" customHeight="1" s="174"/>
    <row r="510" ht="15.75" customHeight="1" s="174"/>
    <row r="511" ht="15.75" customHeight="1" s="174"/>
    <row r="512" ht="15.75" customHeight="1" s="174"/>
    <row r="513" ht="15.75" customHeight="1" s="174"/>
    <row r="514" ht="15.75" customHeight="1" s="174"/>
    <row r="515" ht="15.75" customHeight="1" s="174"/>
    <row r="516" ht="15.75" customHeight="1" s="174"/>
    <row r="517" ht="15.75" customHeight="1" s="174"/>
    <row r="518" ht="15.75" customHeight="1" s="174"/>
    <row r="519" ht="15.75" customHeight="1" s="174"/>
    <row r="520" ht="15.75" customHeight="1" s="174"/>
    <row r="521" ht="15.75" customHeight="1" s="174"/>
    <row r="522" ht="15.75" customHeight="1" s="174"/>
    <row r="523" ht="15.75" customHeight="1" s="174"/>
    <row r="524" ht="15.75" customHeight="1" s="174"/>
    <row r="525" ht="15.75" customHeight="1" s="174"/>
    <row r="526" ht="15.75" customHeight="1" s="174"/>
    <row r="527" ht="15.75" customHeight="1" s="174"/>
    <row r="528" ht="15.75" customHeight="1" s="174"/>
    <row r="529" ht="15.75" customHeight="1" s="174"/>
    <row r="530" ht="15.75" customHeight="1" s="174"/>
    <row r="531" ht="15.75" customHeight="1" s="174"/>
    <row r="532" ht="15.75" customHeight="1" s="174"/>
    <row r="533" ht="15.75" customHeight="1" s="174"/>
    <row r="534" ht="15.75" customHeight="1" s="174"/>
    <row r="535" ht="15.75" customHeight="1" s="174"/>
    <row r="536" ht="15.75" customHeight="1" s="174"/>
    <row r="537" ht="15.75" customHeight="1" s="174"/>
    <row r="538" ht="15.75" customHeight="1" s="174"/>
    <row r="539" ht="15.75" customHeight="1" s="174"/>
    <row r="540" ht="15.75" customHeight="1" s="174"/>
    <row r="541" ht="15.75" customHeight="1" s="174"/>
    <row r="542" ht="15.75" customHeight="1" s="174"/>
    <row r="543" ht="15.75" customHeight="1" s="174"/>
    <row r="544" ht="15.75" customHeight="1" s="174"/>
    <row r="545" ht="15.75" customHeight="1" s="174"/>
    <row r="546" ht="15.75" customHeight="1" s="174"/>
    <row r="547" ht="15.75" customHeight="1" s="174"/>
    <row r="548" ht="15.75" customHeight="1" s="174"/>
    <row r="549" ht="15.75" customHeight="1" s="174"/>
    <row r="550" ht="15.75" customHeight="1" s="174"/>
    <row r="551" ht="15.75" customHeight="1" s="174"/>
    <row r="552" ht="15.75" customHeight="1" s="174"/>
    <row r="553" ht="15.75" customHeight="1" s="174"/>
    <row r="554" ht="15.75" customHeight="1" s="174"/>
    <row r="555" ht="15.75" customHeight="1" s="174"/>
    <row r="556" ht="15.75" customHeight="1" s="174"/>
    <row r="557" ht="15.75" customHeight="1" s="174"/>
    <row r="558" ht="15.75" customHeight="1" s="174"/>
    <row r="559" ht="15.75" customHeight="1" s="174"/>
    <row r="560" ht="15.75" customHeight="1" s="174"/>
    <row r="561" ht="15.75" customHeight="1" s="174"/>
    <row r="562" ht="15.75" customHeight="1" s="174"/>
    <row r="563" ht="15.75" customHeight="1" s="174"/>
    <row r="564" ht="15.75" customHeight="1" s="174"/>
    <row r="565" ht="15.75" customHeight="1" s="174"/>
    <row r="566" ht="15.75" customHeight="1" s="174"/>
    <row r="567" ht="15.75" customHeight="1" s="174"/>
    <row r="568" ht="15.75" customHeight="1" s="174"/>
    <row r="569" ht="15.75" customHeight="1" s="174"/>
    <row r="570" ht="15.75" customHeight="1" s="174"/>
    <row r="571" ht="15.75" customHeight="1" s="174"/>
    <row r="572" ht="15.75" customHeight="1" s="174"/>
    <row r="573" ht="15.75" customHeight="1" s="174"/>
    <row r="574" ht="15.75" customHeight="1" s="174"/>
    <row r="575" ht="15.75" customHeight="1" s="174"/>
    <row r="576" ht="15.75" customHeight="1" s="174"/>
    <row r="577" ht="15.75" customHeight="1" s="174"/>
    <row r="578" ht="15.75" customHeight="1" s="174"/>
    <row r="579" ht="15.75" customHeight="1" s="174"/>
    <row r="580" ht="15.75" customHeight="1" s="174"/>
    <row r="581" ht="15.75" customHeight="1" s="174"/>
    <row r="582" ht="15.75" customHeight="1" s="174"/>
    <row r="583" ht="15.75" customHeight="1" s="174"/>
    <row r="584" ht="15.75" customHeight="1" s="174"/>
    <row r="585" ht="15.75" customHeight="1" s="174"/>
    <row r="586" ht="15.75" customHeight="1" s="174"/>
    <row r="587" ht="15.75" customHeight="1" s="174"/>
    <row r="588" ht="15.75" customHeight="1" s="174"/>
    <row r="589" ht="15.75" customHeight="1" s="174"/>
    <row r="590" ht="15.75" customHeight="1" s="174"/>
    <row r="591" ht="15.75" customHeight="1" s="174"/>
    <row r="592" ht="15.75" customHeight="1" s="174"/>
    <row r="593" ht="15.75" customHeight="1" s="174"/>
    <row r="594" ht="15.75" customHeight="1" s="174"/>
    <row r="595" ht="15.75" customHeight="1" s="174"/>
    <row r="596" ht="15.75" customHeight="1" s="174"/>
    <row r="597" ht="15.75" customHeight="1" s="174"/>
    <row r="598" ht="15.75" customHeight="1" s="174"/>
    <row r="599" ht="15.75" customHeight="1" s="174"/>
    <row r="600" ht="15.75" customHeight="1" s="174"/>
    <row r="601" ht="15.75" customHeight="1" s="174"/>
    <row r="602" ht="15.75" customHeight="1" s="174"/>
    <row r="603" ht="15.75" customHeight="1" s="174"/>
    <row r="604" ht="15.75" customHeight="1" s="174"/>
    <row r="605" ht="15.75" customHeight="1" s="174"/>
    <row r="606" ht="15.75" customHeight="1" s="174"/>
    <row r="607" ht="15.75" customHeight="1" s="174"/>
    <row r="608" ht="15.75" customHeight="1" s="174"/>
    <row r="609" ht="15.75" customHeight="1" s="174"/>
    <row r="610" ht="15.75" customHeight="1" s="174"/>
    <row r="611" ht="15.75" customHeight="1" s="174"/>
    <row r="612" ht="15.75" customHeight="1" s="174"/>
    <row r="613" ht="15.75" customHeight="1" s="174"/>
    <row r="614" ht="15.75" customHeight="1" s="174"/>
    <row r="615" ht="15.75" customHeight="1" s="174"/>
    <row r="616" ht="15.75" customHeight="1" s="174"/>
    <row r="617" ht="15.75" customHeight="1" s="174"/>
    <row r="618" ht="15.75" customHeight="1" s="174"/>
    <row r="619" ht="15.75" customHeight="1" s="174"/>
    <row r="620" ht="15.75" customHeight="1" s="174"/>
    <row r="621" ht="15.75" customHeight="1" s="174"/>
    <row r="622" ht="15.75" customHeight="1" s="174"/>
    <row r="623" ht="15.75" customHeight="1" s="174"/>
    <row r="624" ht="15.75" customHeight="1" s="174"/>
    <row r="625" ht="15.75" customHeight="1" s="174"/>
    <row r="626" ht="15.75" customHeight="1" s="174"/>
    <row r="627" ht="15.75" customHeight="1" s="174"/>
    <row r="628" ht="15.75" customHeight="1" s="174"/>
    <row r="629" ht="15.75" customHeight="1" s="174"/>
    <row r="630" ht="15.75" customHeight="1" s="174"/>
    <row r="631" ht="15.75" customHeight="1" s="174"/>
    <row r="632" ht="15.75" customHeight="1" s="174"/>
    <row r="633" ht="15.75" customHeight="1" s="174"/>
    <row r="634" ht="15.75" customHeight="1" s="174"/>
    <row r="635" ht="15.75" customHeight="1" s="174"/>
    <row r="636" ht="15.75" customHeight="1" s="174"/>
    <row r="637" ht="15.75" customHeight="1" s="174"/>
    <row r="638" ht="15.75" customHeight="1" s="174"/>
    <row r="639" ht="15.75" customHeight="1" s="174"/>
    <row r="640" ht="15.75" customHeight="1" s="174"/>
    <row r="641" ht="15.75" customHeight="1" s="174"/>
    <row r="642" ht="15.75" customHeight="1" s="174"/>
    <row r="643" ht="15.75" customHeight="1" s="174"/>
    <row r="644" ht="15.75" customHeight="1" s="174"/>
    <row r="645" ht="15.75" customHeight="1" s="174"/>
    <row r="646" ht="15.75" customHeight="1" s="174"/>
    <row r="647" ht="15.75" customHeight="1" s="174"/>
    <row r="648" ht="15.75" customHeight="1" s="174"/>
    <row r="649" ht="15.75" customHeight="1" s="174"/>
    <row r="650" ht="15.75" customHeight="1" s="174"/>
    <row r="651" ht="15.75" customHeight="1" s="174"/>
    <row r="652" ht="15.75" customHeight="1" s="174"/>
    <row r="653" ht="15.75" customHeight="1" s="174"/>
    <row r="654" ht="15.75" customHeight="1" s="174"/>
    <row r="655" ht="15.75" customHeight="1" s="174"/>
    <row r="656" ht="15.75" customHeight="1" s="174"/>
    <row r="657" ht="15.75" customHeight="1" s="174"/>
    <row r="658" ht="15.75" customHeight="1" s="174"/>
    <row r="659" ht="15.75" customHeight="1" s="174"/>
    <row r="660" ht="15.75" customHeight="1" s="174"/>
    <row r="661" ht="15.75" customHeight="1" s="174"/>
    <row r="662" ht="15.75" customHeight="1" s="174"/>
    <row r="663" ht="15.75" customHeight="1" s="174"/>
    <row r="664" ht="15.75" customHeight="1" s="174"/>
    <row r="665" ht="15.75" customHeight="1" s="174"/>
    <row r="666" ht="15.75" customHeight="1" s="174"/>
    <row r="667" ht="15.75" customHeight="1" s="174"/>
    <row r="668" ht="15.75" customHeight="1" s="174"/>
    <row r="669" ht="15.75" customHeight="1" s="174"/>
    <row r="670" ht="15.75" customHeight="1" s="174"/>
    <row r="671" ht="15.75" customHeight="1" s="174"/>
    <row r="672" ht="15.75" customHeight="1" s="174"/>
    <row r="673" ht="15.75" customHeight="1" s="174"/>
    <row r="674" ht="15.75" customHeight="1" s="174"/>
    <row r="675" ht="15.75" customHeight="1" s="174"/>
    <row r="676" ht="15.75" customHeight="1" s="174"/>
    <row r="677" ht="15.75" customHeight="1" s="174"/>
    <row r="678" ht="15.75" customHeight="1" s="174"/>
    <row r="679" ht="15.75" customHeight="1" s="174"/>
    <row r="680" ht="15.75" customHeight="1" s="174"/>
    <row r="681" ht="15.75" customHeight="1" s="174"/>
    <row r="682" ht="15.75" customHeight="1" s="174"/>
    <row r="683" ht="15.75" customHeight="1" s="174"/>
    <row r="684" ht="15.75" customHeight="1" s="174"/>
    <row r="685" ht="15.75" customHeight="1" s="174"/>
    <row r="686" ht="15.75" customHeight="1" s="174"/>
    <row r="687" ht="15.75" customHeight="1" s="174"/>
    <row r="688" ht="15.75" customHeight="1" s="174"/>
    <row r="689" ht="15.75" customHeight="1" s="174"/>
    <row r="690" ht="15.75" customHeight="1" s="174"/>
    <row r="691" ht="15.75" customHeight="1" s="174"/>
    <row r="692" ht="15.75" customHeight="1" s="174"/>
    <row r="693" ht="15.75" customHeight="1" s="174"/>
    <row r="694" ht="15.75" customHeight="1" s="174"/>
    <row r="695" ht="15.75" customHeight="1" s="174"/>
    <row r="696" ht="15.75" customHeight="1" s="174"/>
    <row r="697" ht="15.75" customHeight="1" s="174"/>
    <row r="698" ht="15.75" customHeight="1" s="174"/>
    <row r="699" ht="15.75" customHeight="1" s="174"/>
    <row r="700" ht="15.75" customHeight="1" s="174"/>
    <row r="701" ht="15.75" customHeight="1" s="174"/>
    <row r="702" ht="15.75" customHeight="1" s="174"/>
    <row r="703" ht="15.75" customHeight="1" s="174"/>
    <row r="704" ht="15.75" customHeight="1" s="174"/>
    <row r="705" ht="15.75" customHeight="1" s="174"/>
    <row r="706" ht="15.75" customHeight="1" s="174"/>
    <row r="707" ht="15.75" customHeight="1" s="174"/>
    <row r="708" ht="15.75" customHeight="1" s="174"/>
    <row r="709" ht="15.75" customHeight="1" s="174"/>
    <row r="710" ht="15.75" customHeight="1" s="174"/>
    <row r="711" ht="15.75" customHeight="1" s="174"/>
    <row r="712" ht="15.75" customHeight="1" s="174"/>
    <row r="713" ht="15.75" customHeight="1" s="174"/>
    <row r="714" ht="15.75" customHeight="1" s="174"/>
    <row r="715" ht="15.75" customHeight="1" s="174"/>
    <row r="716" ht="15.75" customHeight="1" s="174"/>
    <row r="717" ht="15.75" customHeight="1" s="174"/>
    <row r="718" ht="15.75" customHeight="1" s="174"/>
    <row r="719" ht="15.75" customHeight="1" s="174"/>
    <row r="720" ht="15.75" customHeight="1" s="174"/>
    <row r="721" ht="15.75" customHeight="1" s="174"/>
    <row r="722" ht="15.75" customHeight="1" s="174"/>
    <row r="723" ht="15.75" customHeight="1" s="174"/>
    <row r="724" ht="15.75" customHeight="1" s="174"/>
    <row r="725" ht="15.75" customHeight="1" s="174"/>
    <row r="726" ht="15.75" customHeight="1" s="174"/>
    <row r="727" ht="15.75" customHeight="1" s="174"/>
    <row r="728" ht="15.75" customHeight="1" s="174"/>
    <row r="729" ht="15.75" customHeight="1" s="174"/>
    <row r="730" ht="15.75" customHeight="1" s="174"/>
    <row r="731" ht="15.75" customHeight="1" s="174"/>
    <row r="732" ht="15.75" customHeight="1" s="174"/>
    <row r="733" ht="15.75" customHeight="1" s="174"/>
    <row r="734" ht="15.75" customHeight="1" s="174"/>
    <row r="735" ht="15.75" customHeight="1" s="174"/>
    <row r="736" ht="15.75" customHeight="1" s="174"/>
    <row r="737" ht="15.75" customHeight="1" s="174"/>
    <row r="738" ht="15.75" customHeight="1" s="174"/>
    <row r="739" ht="15.75" customHeight="1" s="174"/>
    <row r="740" ht="15.75" customHeight="1" s="174"/>
    <row r="741" ht="15.75" customHeight="1" s="174"/>
    <row r="742" ht="15.75" customHeight="1" s="174"/>
    <row r="743" ht="15.75" customHeight="1" s="174"/>
    <row r="744" ht="15.75" customHeight="1" s="174"/>
    <row r="745" ht="15.75" customHeight="1" s="174"/>
    <row r="746" ht="15.75" customHeight="1" s="174"/>
    <row r="747" ht="15.75" customHeight="1" s="174"/>
    <row r="748" ht="15.75" customHeight="1" s="174"/>
    <row r="749" ht="15.75" customHeight="1" s="174"/>
    <row r="750" ht="15.75" customHeight="1" s="174"/>
    <row r="751" ht="15.75" customHeight="1" s="174"/>
    <row r="752" ht="15.75" customHeight="1" s="174"/>
    <row r="753" ht="15.75" customHeight="1" s="174"/>
    <row r="754" ht="15.75" customHeight="1" s="174"/>
    <row r="755" ht="15.75" customHeight="1" s="174"/>
    <row r="756" ht="15.75" customHeight="1" s="174"/>
    <row r="757" ht="15.75" customHeight="1" s="174"/>
    <row r="758" ht="15.75" customHeight="1" s="174"/>
    <row r="759" ht="15.75" customHeight="1" s="174"/>
    <row r="760" ht="15.75" customHeight="1" s="174"/>
    <row r="761" ht="15.75" customHeight="1" s="174"/>
    <row r="762" ht="15.75" customHeight="1" s="174"/>
    <row r="763" ht="15.75" customHeight="1" s="174"/>
    <row r="764" ht="15.75" customHeight="1" s="174"/>
    <row r="765" ht="15.75" customHeight="1" s="174"/>
    <row r="766" ht="15.75" customHeight="1" s="174"/>
    <row r="767" ht="15.75" customHeight="1" s="174"/>
    <row r="768" ht="15.75" customHeight="1" s="174"/>
    <row r="769" ht="15.75" customHeight="1" s="174"/>
    <row r="770" ht="15.75" customHeight="1" s="174"/>
    <row r="771" ht="15.75" customHeight="1" s="174"/>
    <row r="772" ht="15.75" customHeight="1" s="174"/>
    <row r="773" ht="15.75" customHeight="1" s="174"/>
    <row r="774" ht="15.75" customHeight="1" s="174"/>
    <row r="775" ht="15.75" customHeight="1" s="174"/>
    <row r="776" ht="15.75" customHeight="1" s="174"/>
    <row r="777" ht="15.75" customHeight="1" s="174"/>
    <row r="778" ht="15.75" customHeight="1" s="174"/>
    <row r="779" ht="15.75" customHeight="1" s="174"/>
    <row r="780" ht="15.75" customHeight="1" s="174"/>
    <row r="781" ht="15.75" customHeight="1" s="174"/>
    <row r="782" ht="15.75" customHeight="1" s="174"/>
    <row r="783" ht="15.75" customHeight="1" s="174"/>
    <row r="784" ht="15.75" customHeight="1" s="174"/>
    <row r="785" ht="15.75" customHeight="1" s="174"/>
    <row r="786" ht="15.75" customHeight="1" s="174"/>
    <row r="787" ht="15.75" customHeight="1" s="174"/>
    <row r="788" ht="15.75" customHeight="1" s="174"/>
    <row r="789" ht="15.75" customHeight="1" s="174"/>
    <row r="790" ht="15.75" customHeight="1" s="174"/>
    <row r="791" ht="15.75" customHeight="1" s="174"/>
    <row r="792" ht="15.75" customHeight="1" s="174"/>
    <row r="793" ht="15.75" customHeight="1" s="174"/>
    <row r="794" ht="15.75" customHeight="1" s="174"/>
    <row r="795" ht="15.75" customHeight="1" s="174"/>
    <row r="796" ht="15.75" customHeight="1" s="174"/>
    <row r="797" ht="15.75" customHeight="1" s="174"/>
    <row r="798" ht="15.75" customHeight="1" s="174"/>
    <row r="799" ht="15.75" customHeight="1" s="174"/>
    <row r="800" ht="15.75" customHeight="1" s="174"/>
    <row r="801" ht="15.75" customHeight="1" s="174"/>
    <row r="802" ht="15.75" customHeight="1" s="174"/>
    <row r="803" ht="15.75" customHeight="1" s="174"/>
    <row r="804" ht="15.75" customHeight="1" s="174"/>
    <row r="805" ht="15.75" customHeight="1" s="174"/>
    <row r="806" ht="15.75" customHeight="1" s="174"/>
    <row r="807" ht="15.75" customHeight="1" s="174"/>
    <row r="808" ht="15.75" customHeight="1" s="174"/>
    <row r="809" ht="15.75" customHeight="1" s="174"/>
    <row r="810" ht="15.75" customHeight="1" s="174"/>
    <row r="811" ht="15.75" customHeight="1" s="174"/>
    <row r="812" ht="15.75" customHeight="1" s="174"/>
    <row r="813" ht="15.75" customHeight="1" s="174"/>
    <row r="814" ht="15.75" customHeight="1" s="174"/>
    <row r="815" ht="15.75" customHeight="1" s="174"/>
    <row r="816" ht="15.75" customHeight="1" s="174"/>
    <row r="817" ht="15.75" customHeight="1" s="174"/>
    <row r="818" ht="15.75" customHeight="1" s="174"/>
    <row r="819" ht="15.75" customHeight="1" s="174"/>
    <row r="820" ht="15.75" customHeight="1" s="174"/>
    <row r="821" ht="15.75" customHeight="1" s="174"/>
    <row r="822" ht="15.75" customHeight="1" s="174"/>
    <row r="823" ht="15.75" customHeight="1" s="174"/>
    <row r="824" ht="15.75" customHeight="1" s="174"/>
    <row r="825" ht="15.75" customHeight="1" s="174"/>
    <row r="826" ht="15.75" customHeight="1" s="174"/>
    <row r="827" ht="15.75" customHeight="1" s="174"/>
    <row r="828" ht="15.75" customHeight="1" s="174"/>
    <row r="829" ht="15.75" customHeight="1" s="174"/>
    <row r="830" ht="15.75" customHeight="1" s="174"/>
    <row r="831" ht="15.75" customHeight="1" s="174"/>
    <row r="832" ht="15.75" customHeight="1" s="174"/>
    <row r="833" ht="15.75" customHeight="1" s="174"/>
    <row r="834" ht="15.75" customHeight="1" s="174"/>
    <row r="835" ht="15.75" customHeight="1" s="174"/>
    <row r="836" ht="15.75" customHeight="1" s="174"/>
    <row r="837" ht="15.75" customHeight="1" s="174"/>
    <row r="838" ht="15.75" customHeight="1" s="174"/>
    <row r="839" ht="15.75" customHeight="1" s="174"/>
    <row r="840" ht="15.75" customHeight="1" s="174"/>
    <row r="841" ht="15.75" customHeight="1" s="174"/>
    <row r="842" ht="15.75" customHeight="1" s="174"/>
    <row r="843" ht="15.75" customHeight="1" s="174"/>
    <row r="844" ht="15.75" customHeight="1" s="174"/>
    <row r="845" ht="15.75" customHeight="1" s="174"/>
    <row r="846" ht="15.75" customHeight="1" s="174"/>
    <row r="847" ht="15.75" customHeight="1" s="174"/>
    <row r="848" ht="15.75" customHeight="1" s="174"/>
    <row r="849" ht="15.75" customHeight="1" s="174"/>
    <row r="850" ht="15.75" customHeight="1" s="174"/>
    <row r="851" ht="15.75" customHeight="1" s="174"/>
    <row r="852" ht="15.75" customHeight="1" s="174"/>
    <row r="853" ht="15.75" customHeight="1" s="174"/>
    <row r="854" ht="15.75" customHeight="1" s="174"/>
    <row r="855" ht="15.75" customHeight="1" s="174"/>
    <row r="856" ht="15.75" customHeight="1" s="174"/>
    <row r="857" ht="15.75" customHeight="1" s="174"/>
    <row r="858" ht="15.75" customHeight="1" s="174"/>
    <row r="859" ht="15.75" customHeight="1" s="174"/>
    <row r="860" ht="15.75" customHeight="1" s="174"/>
    <row r="861" ht="15.75" customHeight="1" s="174"/>
    <row r="862" ht="15.75" customHeight="1" s="174"/>
    <row r="863" ht="15.75" customHeight="1" s="174"/>
    <row r="864" ht="15.75" customHeight="1" s="174"/>
    <row r="865" ht="15.75" customHeight="1" s="174"/>
    <row r="866" ht="15.75" customHeight="1" s="174"/>
    <row r="867" ht="15.75" customHeight="1" s="174"/>
    <row r="868" ht="15.75" customHeight="1" s="174"/>
    <row r="869" ht="15.75" customHeight="1" s="174"/>
    <row r="870" ht="15.75" customHeight="1" s="174"/>
    <row r="871" ht="15.75" customHeight="1" s="174"/>
    <row r="872" ht="15.75" customHeight="1" s="174"/>
    <row r="873" ht="15.75" customHeight="1" s="174"/>
    <row r="874" ht="15.75" customHeight="1" s="174"/>
    <row r="875" ht="15.75" customHeight="1" s="174"/>
    <row r="876" ht="15.75" customHeight="1" s="174"/>
    <row r="877" ht="15.75" customHeight="1" s="174"/>
    <row r="878" ht="15.75" customHeight="1" s="174"/>
    <row r="879" ht="15.75" customHeight="1" s="174"/>
    <row r="880" ht="15.75" customHeight="1" s="174"/>
    <row r="881" ht="15.75" customHeight="1" s="174"/>
    <row r="882" ht="15.75" customHeight="1" s="174"/>
    <row r="883" ht="15.75" customHeight="1" s="174"/>
    <row r="884" ht="15.75" customHeight="1" s="174"/>
    <row r="885" ht="15.75" customHeight="1" s="174"/>
    <row r="886" ht="15.75" customHeight="1" s="174"/>
    <row r="887" ht="15.75" customHeight="1" s="174"/>
    <row r="888" ht="15.75" customHeight="1" s="174"/>
    <row r="889" ht="15.75" customHeight="1" s="174"/>
    <row r="890" ht="15.75" customHeight="1" s="174"/>
    <row r="891" ht="15.75" customHeight="1" s="174"/>
    <row r="892" ht="15.75" customHeight="1" s="174"/>
    <row r="893" ht="15.75" customHeight="1" s="174"/>
    <row r="894" ht="15.75" customHeight="1" s="174"/>
    <row r="895" ht="15.75" customHeight="1" s="174"/>
    <row r="896" ht="15.75" customHeight="1" s="174"/>
    <row r="897" ht="15.75" customHeight="1" s="174"/>
    <row r="898" ht="15.75" customHeight="1" s="174"/>
    <row r="899" ht="15.75" customHeight="1" s="174"/>
    <row r="900" ht="15.75" customHeight="1" s="174"/>
    <row r="901" ht="15.75" customHeight="1" s="174"/>
    <row r="902" ht="15.75" customHeight="1" s="174"/>
    <row r="903" ht="15.75" customHeight="1" s="174"/>
    <row r="904" ht="15.75" customHeight="1" s="174"/>
    <row r="905" ht="15.75" customHeight="1" s="174"/>
    <row r="906" ht="15.75" customHeight="1" s="174"/>
    <row r="907" ht="15.75" customHeight="1" s="174"/>
    <row r="908" ht="15.75" customHeight="1" s="174"/>
    <row r="909" ht="15.75" customHeight="1" s="174"/>
    <row r="910" ht="15.75" customHeight="1" s="174"/>
    <row r="911" ht="15.75" customHeight="1" s="174"/>
    <row r="912" ht="15.75" customHeight="1" s="174"/>
    <row r="913" ht="15.75" customHeight="1" s="174"/>
    <row r="914" ht="15.75" customHeight="1" s="174"/>
    <row r="915" ht="15.75" customHeight="1" s="174"/>
    <row r="916" ht="15.75" customHeight="1" s="174"/>
    <row r="917" ht="15.75" customHeight="1" s="174"/>
    <row r="918" ht="15.75" customHeight="1" s="174"/>
    <row r="919" ht="15.75" customHeight="1" s="174"/>
    <row r="920" ht="15.75" customHeight="1" s="174"/>
    <row r="921" ht="15.75" customHeight="1" s="174"/>
    <row r="922" ht="15.75" customHeight="1" s="174"/>
    <row r="923" ht="15.75" customHeight="1" s="174"/>
    <row r="924" ht="15.75" customHeight="1" s="174"/>
    <row r="925" ht="15.75" customHeight="1" s="174"/>
    <row r="926" ht="15.75" customHeight="1" s="174"/>
    <row r="927" ht="15.75" customHeight="1" s="174"/>
    <row r="928" ht="15.75" customHeight="1" s="174"/>
    <row r="929" ht="15.75" customHeight="1" s="174"/>
    <row r="930" ht="15.75" customHeight="1" s="174"/>
    <row r="931" ht="15.75" customHeight="1" s="174"/>
    <row r="932" ht="15.75" customHeight="1" s="174"/>
    <row r="933" ht="15.75" customHeight="1" s="174"/>
    <row r="934" ht="15.75" customHeight="1" s="174"/>
    <row r="935" ht="15.75" customHeight="1" s="174"/>
    <row r="936" ht="15.75" customHeight="1" s="174"/>
    <row r="937" ht="15.75" customHeight="1" s="174"/>
    <row r="938" ht="15.75" customHeight="1" s="174"/>
    <row r="939" ht="15.75" customHeight="1" s="174"/>
    <row r="940" ht="15.75" customHeight="1" s="174"/>
    <row r="941" ht="15.75" customHeight="1" s="174"/>
    <row r="942" ht="15.75" customHeight="1" s="174"/>
    <row r="943" ht="15.75" customHeight="1" s="174"/>
    <row r="944" ht="15.75" customHeight="1" s="174"/>
    <row r="945" ht="15.75" customHeight="1" s="174"/>
    <row r="946" ht="15.75" customHeight="1" s="174"/>
    <row r="947" ht="15.75" customHeight="1" s="174"/>
    <row r="948" ht="15.75" customHeight="1" s="174"/>
    <row r="949" ht="15.75" customHeight="1" s="174"/>
    <row r="950" ht="15.75" customHeight="1" s="174"/>
    <row r="951" ht="15.75" customHeight="1" s="174"/>
    <row r="952" ht="15.75" customHeight="1" s="174"/>
    <row r="953" ht="15.75" customHeight="1" s="174"/>
    <row r="954" ht="15.75" customHeight="1" s="174"/>
    <row r="955" ht="15.75" customHeight="1" s="174"/>
    <row r="956" ht="15.75" customHeight="1" s="174"/>
    <row r="957" ht="15.75" customHeight="1" s="174"/>
    <row r="958" ht="15.75" customHeight="1" s="174"/>
    <row r="959" ht="15.75" customHeight="1" s="174"/>
    <row r="960" ht="15.75" customHeight="1" s="174"/>
    <row r="961" ht="15.75" customHeight="1" s="174"/>
    <row r="962" ht="15.75" customHeight="1" s="174"/>
    <row r="963" ht="15.75" customHeight="1" s="174"/>
    <row r="964" ht="15.75" customHeight="1" s="174"/>
    <row r="965" ht="15.75" customHeight="1" s="174"/>
    <row r="966" ht="15.75" customHeight="1" s="174"/>
    <row r="967" ht="15.75" customHeight="1" s="174"/>
    <row r="968" ht="15.75" customHeight="1" s="174"/>
    <row r="969" ht="15.75" customHeight="1" s="174"/>
    <row r="970" ht="15.75" customHeight="1" s="174"/>
    <row r="971" ht="15.75" customHeight="1" s="174"/>
    <row r="972" ht="15.75" customHeight="1" s="174"/>
    <row r="973" ht="15.75" customHeight="1" s="174"/>
    <row r="974" ht="15.75" customHeight="1" s="174"/>
    <row r="975" ht="15.75" customHeight="1" s="174"/>
    <row r="976" ht="15.75" customHeight="1" s="174"/>
    <row r="977" ht="15.75" customHeight="1" s="174"/>
    <row r="978" ht="15.75" customHeight="1" s="174"/>
    <row r="979" ht="15.75" customHeight="1" s="174"/>
    <row r="980" ht="15.75" customHeight="1" s="174"/>
    <row r="981" ht="15.75" customHeight="1" s="174"/>
    <row r="982" ht="15.75" customHeight="1" s="174"/>
    <row r="983" ht="15.75" customHeight="1" s="174"/>
    <row r="984" ht="15.75" customHeight="1" s="174"/>
    <row r="985" ht="15.75" customHeight="1" s="174"/>
    <row r="986" ht="15.75" customHeight="1" s="174"/>
    <row r="987" ht="15.75" customHeight="1" s="174"/>
    <row r="988" ht="15.75" customHeight="1" s="174"/>
    <row r="989" ht="15.75" customHeight="1" s="174"/>
    <row r="990" ht="15.75" customHeight="1" s="174"/>
    <row r="991" ht="15.75" customHeight="1" s="174"/>
    <row r="992" ht="15.75" customHeight="1" s="174"/>
    <row r="993" ht="15.75" customHeight="1" s="174"/>
    <row r="994" ht="15.75" customHeight="1" s="174"/>
    <row r="995" ht="15.75" customHeight="1" s="174"/>
    <row r="996" ht="15.75" customHeight="1" s="174"/>
    <row r="997" ht="15.75" customHeight="1" s="174"/>
    <row r="998" ht="15.75" customHeight="1" s="174"/>
    <row r="999" ht="15.75" customHeight="1" s="174"/>
    <row r="1000" ht="15.75" customHeight="1" s="174"/>
  </sheetData>
  <mergeCells count="24">
    <mergeCell ref="F20:H20"/>
    <mergeCell ref="G21:H21"/>
    <mergeCell ref="D9:G9"/>
    <mergeCell ref="F18:H18"/>
    <mergeCell ref="A38:D38"/>
    <mergeCell ref="A43:D43"/>
    <mergeCell ref="F17:H17"/>
    <mergeCell ref="G23:H23"/>
    <mergeCell ref="D7:F7"/>
    <mergeCell ref="A44:D44"/>
    <mergeCell ref="A40:D40"/>
    <mergeCell ref="A39:D39"/>
    <mergeCell ref="F27:K27"/>
    <mergeCell ref="H61:L61"/>
    <mergeCell ref="H9:K9"/>
    <mergeCell ref="G24:H24"/>
    <mergeCell ref="A41:D41"/>
    <mergeCell ref="B9:C9"/>
    <mergeCell ref="F11:H11"/>
    <mergeCell ref="C6:E6"/>
    <mergeCell ref="F25:H25"/>
    <mergeCell ref="C5:E5"/>
    <mergeCell ref="G22:H22"/>
    <mergeCell ref="A42:D42"/>
  </mergeCells>
  <dataValidations count="1">
    <dataValidation sqref="B12:D18 B21:D22 B25:D28 B31:D35 I12:K16 I21:K24" showDropDown="0" showInputMessage="1" showErrorMessage="0" allowBlank="1" errorTitle="Invalid Entry" error="Your entry is not in the list" promptTitle="Condition Rating" prompt="Select ✓, X, or N/A (or type freely)" type="list">
      <formula1>"✓,X,N/A"</formula1>
    </dataValidation>
  </dataValidations>
  <pageMargins left="0.5321748574531633" right="0.285" top="0.75" bottom="0.75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Vertex42.com</dc:creator>
  <dcterms:created xsi:type="dcterms:W3CDTF">2004-08-16T18:44:00Z</dcterms:created>
  <dcterms:modified xsi:type="dcterms:W3CDTF">2026-09-20T12:02:11Z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pyright" fmtid="{D5CDD505-2E9C-101B-9397-08002B2CF9AE}" pid="2">
    <vt:lpwstr>2010-2019 Vertex42 LLC</vt:lpwstr>
  </property>
  <property name="Version" fmtid="{D5CDD505-2E9C-101B-9397-08002B2CF9AE}" pid="3">
    <vt:lpwstr>1.3.2</vt:lpwstr>
  </property>
  <property name="Source" fmtid="{D5CDD505-2E9C-101B-9397-08002B2CF9AE}" pid="4">
    <vt:lpwstr>https://www.vertex42.com/ExcelTemplates/excel-invoice-template.html</vt:lpwstr>
  </property>
  <property name="ICV" fmtid="{D5CDD505-2E9C-101B-9397-08002B2CF9AE}" pid="5">
    <vt:lpwstr>3886FACF7B8E47DFB2094E346F0E2255_12</vt:lpwstr>
  </property>
  <property name="KSOProductBuildVer" fmtid="{D5CDD505-2E9C-101B-9397-08002B2CF9AE}" pid="6">
    <vt:lpwstr>2057-12.2.0.23206</vt:lpwstr>
  </property>
</Properties>
</file>